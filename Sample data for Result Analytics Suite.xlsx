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1" sheetId="1" r:id="rId4"/>
    <sheet state="visible" name="Format 2" sheetId="2" r:id="rId5"/>
    <sheet state="visible" name="Format 3" sheetId="3" r:id="rId6"/>
    <sheet state="visible" name="Format 4" sheetId="4" r:id="rId7"/>
    <sheet state="visible" name="Format 5" sheetId="5" r:id="rId8"/>
    <sheet state="visible" name="Format 6" sheetId="6" r:id="rId9"/>
    <sheet state="visible" name="Format 7" sheetId="7" r:id="rId10"/>
    <sheet state="visible" name="Format 8" sheetId="8" r:id="rId11"/>
    <sheet state="visible" name="Format 9" sheetId="9" r:id="rId12"/>
    <sheet state="visible" name="Format 10" sheetId="10" r:id="rId13"/>
    <sheet state="visible" name="Format 11" sheetId="11" r:id="rId14"/>
    <sheet state="visible" name="Format 12" sheetId="12" r:id="rId15"/>
    <sheet state="visible" name="overall-toppers" sheetId="13" r:id="rId16"/>
  </sheets>
  <definedNames>
    <definedName name="_xlchart.v1.3">'Format 4'!$S$25</definedName>
    <definedName name="_xlchart.v1.5">'Format 4'!$T$22:$V$22</definedName>
    <definedName name="_xlchart.v1.7">'Format 4'!$T$24:$V$24</definedName>
    <definedName name="_xlchart.v1.23">'Format 4'!$T$22:$V$22</definedName>
    <definedName name="_xlchart.v1.17">'Format 4'!$T$25:$V$25</definedName>
    <definedName name="_xlchart.v1.12">'Format 4'!$S$25</definedName>
    <definedName name="_xlchart.v1.18">'Format 4'!$S$22</definedName>
    <definedName name="_xlchart.v1.20">'Format 4'!$S$24</definedName>
    <definedName name="_xlchart.v1.4">'Format 4'!$T$21:$V$21</definedName>
    <definedName name="_xlchart.v1.2">'Format 4'!$S$24</definedName>
    <definedName name="_xlchart.v1.10">'Format 4'!$S$23</definedName>
    <definedName name="_xlchart.v1.26">'Format 4'!$T$25:$V$25</definedName>
    <definedName name="_xlchart.v1.11">'Format 4'!$S$24</definedName>
    <definedName name="_xlchart.v1.0">'Format 4'!$S$22</definedName>
    <definedName name="_xlchart.v1.14">'Format 4'!$T$22:$V$22</definedName>
    <definedName name="_xlchart.v1.21">'Format 4'!$S$25</definedName>
    <definedName name="_xlchart.v1.19">'Format 4'!$S$23</definedName>
    <definedName name="_xlchart.v1.6">'Format 4'!$T$23:$V$23</definedName>
    <definedName name="_xlchart.v1.24">'Format 4'!$T$23:$V$23</definedName>
    <definedName name="_xlchart.v1.16">'Format 4'!$T$24:$V$24</definedName>
    <definedName name="_xlchart.v1.15">'Format 4'!$T$23:$V$23</definedName>
    <definedName name="_xlchart.v1.8">'Format 4'!$T$25:$V$25</definedName>
    <definedName name="_xlchart.v1.22">'Format 4'!$T$21:$V$21</definedName>
    <definedName name="_xlchart.v1.13">'Format 4'!$T$21:$V$21</definedName>
    <definedName name="_xlchart.v1.9">'Format 4'!$S$22</definedName>
    <definedName name="_xlchart.v1.25">'Format 4'!$T$24:$V$24</definedName>
    <definedName name="_xlchart.v1.1">'Format 4'!$S$23</definedName>
  </definedNames>
  <calcPr/>
  <extLst>
    <ext uri="GoogleSheetsCustomDataVersion2">
      <go:sheetsCustomData xmlns:go="http://customooxmlschemas.google.com/" r:id="rId17" roundtripDataChecksum="0B0vTfNlGwGye6wO0pAP5m8SIy1u3tYFx0tzoo2IYtw="/>
    </ext>
  </extLst>
</workbook>
</file>

<file path=xl/sharedStrings.xml><?xml version="1.0" encoding="utf-8"?>
<sst xmlns="http://schemas.openxmlformats.org/spreadsheetml/2006/main" count="3381" uniqueCount="956">
  <si>
    <t xml:space="preserve">    ||Jai Sri Gurudev||</t>
  </si>
  <si>
    <t xml:space="preserve">    Sri Adichunchanagiri Shikshana Trust (R)</t>
  </si>
  <si>
    <t xml:space="preserve">  SJB INSTITUTE OF TECHNOLOGY</t>
  </si>
  <si>
    <t>(Affiliated to Visvesvaraya Technological University, Belagavi&amp; Approved by AICTE, New Delhi)</t>
  </si>
  <si>
    <t>No. 67, BGS Health &amp; Education City, Dr. Vishnuvardhan Road, Kengeri, Bengaluru-560060.</t>
  </si>
  <si>
    <t>DEPARTMENT OF CSE</t>
  </si>
  <si>
    <t>Student Admission Details (1/12)</t>
  </si>
  <si>
    <t>CSE</t>
  </si>
  <si>
    <t>Semester</t>
  </si>
  <si>
    <t>Batch</t>
  </si>
  <si>
    <t xml:space="preserve">USN </t>
  </si>
  <si>
    <t>Student Name</t>
  </si>
  <si>
    <t>Gender</t>
  </si>
  <si>
    <t>Admission Quota</t>
  </si>
  <si>
    <t>Admission Type</t>
  </si>
  <si>
    <t>Actual Category</t>
  </si>
  <si>
    <t>Seat Category Claimed</t>
  </si>
  <si>
    <t>Seat Category Alloted</t>
  </si>
  <si>
    <t>Domicile of State</t>
  </si>
  <si>
    <t>Domicile Place</t>
  </si>
  <si>
    <t>CET/COMEDK/DCET Rank</t>
  </si>
  <si>
    <t>V</t>
  </si>
  <si>
    <t>1JB00CS001</t>
  </si>
  <si>
    <t>Student 1</t>
  </si>
  <si>
    <t>Male</t>
  </si>
  <si>
    <t>MANAGEMENT</t>
  </si>
  <si>
    <t>REGULAR</t>
  </si>
  <si>
    <t>GM</t>
  </si>
  <si>
    <t>KARNATAKA</t>
  </si>
  <si>
    <t>BENGALURU URBAN</t>
  </si>
  <si>
    <t/>
  </si>
  <si>
    <t>1JB03CS001</t>
  </si>
  <si>
    <t>Student 2</t>
  </si>
  <si>
    <t>Female</t>
  </si>
  <si>
    <t>2A</t>
  </si>
  <si>
    <t>102385</t>
  </si>
  <si>
    <t>1JB03CS002</t>
  </si>
  <si>
    <t>Student 3</t>
  </si>
  <si>
    <t>COMED-K</t>
  </si>
  <si>
    <t>RAMANAGARA</t>
  </si>
  <si>
    <t>22406</t>
  </si>
  <si>
    <t>1JB03CS003</t>
  </si>
  <si>
    <t>Student 4</t>
  </si>
  <si>
    <t>CET</t>
  </si>
  <si>
    <t>3B</t>
  </si>
  <si>
    <t>15506</t>
  </si>
  <si>
    <t>1JB03CS004</t>
  </si>
  <si>
    <t>Student 5</t>
  </si>
  <si>
    <t>UTTARA KANNADA</t>
  </si>
  <si>
    <t>25004</t>
  </si>
  <si>
    <t>1JB03CS005</t>
  </si>
  <si>
    <t>Student 6</t>
  </si>
  <si>
    <t>1JB03CS006</t>
  </si>
  <si>
    <t>Student 7</t>
  </si>
  <si>
    <t>NON-KARNATAKA</t>
  </si>
  <si>
    <t>MAHARASHTRA</t>
  </si>
  <si>
    <t>24585</t>
  </si>
  <si>
    <t>1JB03CS007</t>
  </si>
  <si>
    <t>Student 8</t>
  </si>
  <si>
    <t>BIHAR</t>
  </si>
  <si>
    <t>22709</t>
  </si>
  <si>
    <t>1JB03CS008</t>
  </si>
  <si>
    <t>Student 9</t>
  </si>
  <si>
    <t>ST</t>
  </si>
  <si>
    <t>STG</t>
  </si>
  <si>
    <t>HASSAN</t>
  </si>
  <si>
    <t>54082</t>
  </si>
  <si>
    <t>1JB03CS009</t>
  </si>
  <si>
    <t>Student 10</t>
  </si>
  <si>
    <t>3BG</t>
  </si>
  <si>
    <t>CHIKKAMANGALURU</t>
  </si>
  <si>
    <t>14977</t>
  </si>
  <si>
    <t>1JB03CS010</t>
  </si>
  <si>
    <t>Student 11</t>
  </si>
  <si>
    <t>SCG</t>
  </si>
  <si>
    <t>CHIKKABALLAPUR</t>
  </si>
  <si>
    <t>55582</t>
  </si>
  <si>
    <t>1JB03CS011</t>
  </si>
  <si>
    <t>Student 12</t>
  </si>
  <si>
    <t>1JB03CS012</t>
  </si>
  <si>
    <t>Student 13</t>
  </si>
  <si>
    <t>21489</t>
  </si>
  <si>
    <t>1JB03CS013</t>
  </si>
  <si>
    <t>Student 14</t>
  </si>
  <si>
    <t>39162</t>
  </si>
  <si>
    <t>1JB03CS014</t>
  </si>
  <si>
    <t>Student 15</t>
  </si>
  <si>
    <t>3A</t>
  </si>
  <si>
    <t>18438</t>
  </si>
  <si>
    <t>1JB03CS015</t>
  </si>
  <si>
    <t>Student 16</t>
  </si>
  <si>
    <t>1JB03CS016</t>
  </si>
  <si>
    <t>Student 17</t>
  </si>
  <si>
    <t>23677</t>
  </si>
  <si>
    <t>1JB03CS017</t>
  </si>
  <si>
    <t>Student 18</t>
  </si>
  <si>
    <t>13606</t>
  </si>
  <si>
    <t>1JB03CS018</t>
  </si>
  <si>
    <t>Student 19</t>
  </si>
  <si>
    <t>24693</t>
  </si>
  <si>
    <t>1JB03CS019</t>
  </si>
  <si>
    <t>Student 20</t>
  </si>
  <si>
    <t>3BGR</t>
  </si>
  <si>
    <t>GMR</t>
  </si>
  <si>
    <t>CHITRADURGA</t>
  </si>
  <si>
    <t>19348</t>
  </si>
  <si>
    <t>1JB03CS020</t>
  </si>
  <si>
    <t>Student 21</t>
  </si>
  <si>
    <t>UTTARPRADESH</t>
  </si>
  <si>
    <t>24820</t>
  </si>
  <si>
    <t>1JB03CS021</t>
  </si>
  <si>
    <t>Student 22</t>
  </si>
  <si>
    <t>3AG</t>
  </si>
  <si>
    <t>14688</t>
  </si>
  <si>
    <t>1JB03CS022</t>
  </si>
  <si>
    <t>Student 23</t>
  </si>
  <si>
    <t>2B</t>
  </si>
  <si>
    <t>2BG</t>
  </si>
  <si>
    <t>BAGALKOT</t>
  </si>
  <si>
    <t>20368</t>
  </si>
  <si>
    <t>1JB03CS023</t>
  </si>
  <si>
    <t>Student 24</t>
  </si>
  <si>
    <t>13264</t>
  </si>
  <si>
    <t>1JB03CS024</t>
  </si>
  <si>
    <t>Student 25</t>
  </si>
  <si>
    <t>SC</t>
  </si>
  <si>
    <t>TUMAKURU</t>
  </si>
  <si>
    <t>54337</t>
  </si>
  <si>
    <t>1JB03CS025</t>
  </si>
  <si>
    <t>Student 26</t>
  </si>
  <si>
    <t>20376</t>
  </si>
  <si>
    <t>1JB03CS026</t>
  </si>
  <si>
    <t>Student 27</t>
  </si>
  <si>
    <t>14643</t>
  </si>
  <si>
    <t>1JB03CS027</t>
  </si>
  <si>
    <t>Student 28</t>
  </si>
  <si>
    <t>73195</t>
  </si>
  <si>
    <t>1JB03CS028</t>
  </si>
  <si>
    <t>Student 29</t>
  </si>
  <si>
    <t>76836</t>
  </si>
  <si>
    <t>1JB03CS029</t>
  </si>
  <si>
    <t>Student 30</t>
  </si>
  <si>
    <t>SCGR</t>
  </si>
  <si>
    <t>SCR</t>
  </si>
  <si>
    <t>57672</t>
  </si>
  <si>
    <t>1JB03CS030</t>
  </si>
  <si>
    <t>Student 31</t>
  </si>
  <si>
    <t>14486</t>
  </si>
  <si>
    <t>1JB03CS031</t>
  </si>
  <si>
    <t>Student 32</t>
  </si>
  <si>
    <t>35597</t>
  </si>
  <si>
    <t>1JB03CS032</t>
  </si>
  <si>
    <t>Student 33</t>
  </si>
  <si>
    <t>20797</t>
  </si>
  <si>
    <t>1JB03CS033</t>
  </si>
  <si>
    <t>Student 34</t>
  </si>
  <si>
    <t>1G</t>
  </si>
  <si>
    <t>1JB03CS034</t>
  </si>
  <si>
    <t>Student 35</t>
  </si>
  <si>
    <t>3AGH</t>
  </si>
  <si>
    <t>BELLARY</t>
  </si>
  <si>
    <t>15173</t>
  </si>
  <si>
    <t>1JB03CS035</t>
  </si>
  <si>
    <t>Student 36</t>
  </si>
  <si>
    <t>18034</t>
  </si>
  <si>
    <t>1JB03CS036</t>
  </si>
  <si>
    <t>Student 37</t>
  </si>
  <si>
    <t>1JB03CS037</t>
  </si>
  <si>
    <t>Student 38</t>
  </si>
  <si>
    <t>55393</t>
  </si>
  <si>
    <t>1JB03CS038</t>
  </si>
  <si>
    <t>Student 39</t>
  </si>
  <si>
    <t>21430</t>
  </si>
  <si>
    <t>1JB03CS039</t>
  </si>
  <si>
    <t>Student 40</t>
  </si>
  <si>
    <t>27246</t>
  </si>
  <si>
    <t>1JB03CS040</t>
  </si>
  <si>
    <t>Student 41</t>
  </si>
  <si>
    <t>KOLAR</t>
  </si>
  <si>
    <t>14292</t>
  </si>
  <si>
    <t>1JB03CS041</t>
  </si>
  <si>
    <t>Student 42</t>
  </si>
  <si>
    <t>19369</t>
  </si>
  <si>
    <t>1JB03CS042</t>
  </si>
  <si>
    <t>Student 43</t>
  </si>
  <si>
    <t>20752</t>
  </si>
  <si>
    <t>1JB03CS043</t>
  </si>
  <si>
    <t>Student 44</t>
  </si>
  <si>
    <t>0</t>
  </si>
  <si>
    <t>1JB03CS044</t>
  </si>
  <si>
    <t>Student 45</t>
  </si>
  <si>
    <t>12713</t>
  </si>
  <si>
    <t>1JB03CS045</t>
  </si>
  <si>
    <t>Student 46</t>
  </si>
  <si>
    <t>KODAGU</t>
  </si>
  <si>
    <t>14437</t>
  </si>
  <si>
    <t>1JB03CS046</t>
  </si>
  <si>
    <t>Student 47</t>
  </si>
  <si>
    <t>STGH</t>
  </si>
  <si>
    <t>STH</t>
  </si>
  <si>
    <t>VIJAYANAGARA</t>
  </si>
  <si>
    <t>65816</t>
  </si>
  <si>
    <t>1JB03CS047</t>
  </si>
  <si>
    <t>Student 48</t>
  </si>
  <si>
    <t>1JB03CS048</t>
  </si>
  <si>
    <t>Student 49</t>
  </si>
  <si>
    <t>33751</t>
  </si>
  <si>
    <t>1JB03CS049</t>
  </si>
  <si>
    <t>Student 50</t>
  </si>
  <si>
    <t>2AGR</t>
  </si>
  <si>
    <t>2AR</t>
  </si>
  <si>
    <t>SHIVAMOGGA</t>
  </si>
  <si>
    <t>29589</t>
  </si>
  <si>
    <t>1JB03CS050</t>
  </si>
  <si>
    <t>Student 51</t>
  </si>
  <si>
    <t>20464</t>
  </si>
  <si>
    <t>1JB03CS051</t>
  </si>
  <si>
    <t>Student 52</t>
  </si>
  <si>
    <t>21687</t>
  </si>
  <si>
    <t>1JB03CS052</t>
  </si>
  <si>
    <t>Student 53</t>
  </si>
  <si>
    <t>21422</t>
  </si>
  <si>
    <t>1JB03CS053</t>
  </si>
  <si>
    <t>Student 54</t>
  </si>
  <si>
    <t>BENGALURU RURAL</t>
  </si>
  <si>
    <t>40107</t>
  </si>
  <si>
    <t>1JB03CS054</t>
  </si>
  <si>
    <t>Student 55</t>
  </si>
  <si>
    <t>23726</t>
  </si>
  <si>
    <t>1JB03CS055</t>
  </si>
  <si>
    <t>Student 56</t>
  </si>
  <si>
    <t>23941</t>
  </si>
  <si>
    <t>1JB03CS056</t>
  </si>
  <si>
    <t>Student 57</t>
  </si>
  <si>
    <t>20757</t>
  </si>
  <si>
    <t>1JB03CS057</t>
  </si>
  <si>
    <t>Student 58</t>
  </si>
  <si>
    <t>112100</t>
  </si>
  <si>
    <t>1JB03CS058</t>
  </si>
  <si>
    <t>Student 59</t>
  </si>
  <si>
    <t>1JB03CS059</t>
  </si>
  <si>
    <t>Student 60</t>
  </si>
  <si>
    <t>62660</t>
  </si>
  <si>
    <t>1JB03CS060</t>
  </si>
  <si>
    <t>Student 61</t>
  </si>
  <si>
    <t>3AGR</t>
  </si>
  <si>
    <t>16356</t>
  </si>
  <si>
    <t>1JB03CS061</t>
  </si>
  <si>
    <t>Student 62</t>
  </si>
  <si>
    <t>MANDYA</t>
  </si>
  <si>
    <t>15055</t>
  </si>
  <si>
    <t>1JB03CS062</t>
  </si>
  <si>
    <t>Student 63</t>
  </si>
  <si>
    <t>1JB03CS063</t>
  </si>
  <si>
    <t>Student 64</t>
  </si>
  <si>
    <t>24224</t>
  </si>
  <si>
    <t>1JB03CS064</t>
  </si>
  <si>
    <t>Student 65</t>
  </si>
  <si>
    <t>3BGH</t>
  </si>
  <si>
    <t>GMH</t>
  </si>
  <si>
    <t>17300</t>
  </si>
  <si>
    <t>1JB03CS065</t>
  </si>
  <si>
    <t>Student 66</t>
  </si>
  <si>
    <t>1JB03CS066</t>
  </si>
  <si>
    <t>Student 67</t>
  </si>
  <si>
    <t>PANJUB</t>
  </si>
  <si>
    <t>21518</t>
  </si>
  <si>
    <t>1JB03CS067</t>
  </si>
  <si>
    <t>Student 68</t>
  </si>
  <si>
    <t>129692</t>
  </si>
  <si>
    <t>1JB03CS068</t>
  </si>
  <si>
    <t>Student 69</t>
  </si>
  <si>
    <t>16345</t>
  </si>
  <si>
    <t>1JB03CS069</t>
  </si>
  <si>
    <t>Student 70</t>
  </si>
  <si>
    <t>117655</t>
  </si>
  <si>
    <t>1JB03CS070</t>
  </si>
  <si>
    <t>Student 71</t>
  </si>
  <si>
    <t>23946</t>
  </si>
  <si>
    <t>1JB03CS071</t>
  </si>
  <si>
    <t>Student 72</t>
  </si>
  <si>
    <t>SCK</t>
  </si>
  <si>
    <t>BIDAR</t>
  </si>
  <si>
    <t>70082</t>
  </si>
  <si>
    <t>1JB03CS072</t>
  </si>
  <si>
    <t>Student 73</t>
  </si>
  <si>
    <t>DELHI</t>
  </si>
  <si>
    <t>24913</t>
  </si>
  <si>
    <t>1JB03CS073</t>
  </si>
  <si>
    <t>Student 74</t>
  </si>
  <si>
    <t>48816</t>
  </si>
  <si>
    <t>1JB03CS074</t>
  </si>
  <si>
    <t>Student 75</t>
  </si>
  <si>
    <t>MADHYAPRADESH</t>
  </si>
  <si>
    <t>21772</t>
  </si>
  <si>
    <t>1JB03CS075</t>
  </si>
  <si>
    <t>Student 76</t>
  </si>
  <si>
    <t>14205</t>
  </si>
  <si>
    <t>1JB03CS076</t>
  </si>
  <si>
    <t>Student 77</t>
  </si>
  <si>
    <t>23508</t>
  </si>
  <si>
    <t>1JB03CS077</t>
  </si>
  <si>
    <t>Student 78</t>
  </si>
  <si>
    <t>21379</t>
  </si>
  <si>
    <t>1JB03CS078</t>
  </si>
  <si>
    <t>Student 79</t>
  </si>
  <si>
    <t>1JB03CS079</t>
  </si>
  <si>
    <t>Student 80</t>
  </si>
  <si>
    <t>2AG</t>
  </si>
  <si>
    <t>20986</t>
  </si>
  <si>
    <t>1JB03CS080</t>
  </si>
  <si>
    <t>Student 81</t>
  </si>
  <si>
    <t>1JB03CS081</t>
  </si>
  <si>
    <t>Student 82</t>
  </si>
  <si>
    <t>15807</t>
  </si>
  <si>
    <t>1JB03CS082</t>
  </si>
  <si>
    <t>Student 83</t>
  </si>
  <si>
    <t>16405</t>
  </si>
  <si>
    <t>1JB03CS083</t>
  </si>
  <si>
    <t>Student 84</t>
  </si>
  <si>
    <t>CET-SNQ</t>
  </si>
  <si>
    <t>12827</t>
  </si>
  <si>
    <t>1JB03CS084</t>
  </si>
  <si>
    <t>Student 85</t>
  </si>
  <si>
    <t>1JB03CS085</t>
  </si>
  <si>
    <t>Student 86</t>
  </si>
  <si>
    <t>18203</t>
  </si>
  <si>
    <t>1JB03CS086</t>
  </si>
  <si>
    <t>Student 87</t>
  </si>
  <si>
    <t>JAMMU &amp; KASMIR</t>
  </si>
  <si>
    <t>21488</t>
  </si>
  <si>
    <t>1JB03CS087</t>
  </si>
  <si>
    <t>Student 88</t>
  </si>
  <si>
    <t>18661</t>
  </si>
  <si>
    <t>1JB03CS088</t>
  </si>
  <si>
    <t>Student 89</t>
  </si>
  <si>
    <t>52646</t>
  </si>
  <si>
    <t>1JB03CS089</t>
  </si>
  <si>
    <t>Student 90</t>
  </si>
  <si>
    <t>12522</t>
  </si>
  <si>
    <t>1JB03CS090</t>
  </si>
  <si>
    <t>Student 91</t>
  </si>
  <si>
    <t>SNQ</t>
  </si>
  <si>
    <t>14042</t>
  </si>
  <si>
    <t>1JB03CS091</t>
  </si>
  <si>
    <t>Student 92</t>
  </si>
  <si>
    <t>51674</t>
  </si>
  <si>
    <t>1JB03CS092</t>
  </si>
  <si>
    <t>Student 93</t>
  </si>
  <si>
    <t>61840</t>
  </si>
  <si>
    <t>1JB03CS093</t>
  </si>
  <si>
    <t>Student 94</t>
  </si>
  <si>
    <t>17463</t>
  </si>
  <si>
    <t>1JB03CS094</t>
  </si>
  <si>
    <t>Student 95</t>
  </si>
  <si>
    <t>133256</t>
  </si>
  <si>
    <t>1JB03CS095</t>
  </si>
  <si>
    <t>Student 96</t>
  </si>
  <si>
    <t>1JB03CS096</t>
  </si>
  <si>
    <t>Student 97</t>
  </si>
  <si>
    <t>22217</t>
  </si>
  <si>
    <t>1JB03CS097</t>
  </si>
  <si>
    <t>Student 98</t>
  </si>
  <si>
    <t>1JB03CS098</t>
  </si>
  <si>
    <t>Student 99</t>
  </si>
  <si>
    <t>1JB03CS099</t>
  </si>
  <si>
    <t>Student 100</t>
  </si>
  <si>
    <t>3BR</t>
  </si>
  <si>
    <t>19403</t>
  </si>
  <si>
    <t>1JB03CS100</t>
  </si>
  <si>
    <t>Student 101</t>
  </si>
  <si>
    <t>83364</t>
  </si>
  <si>
    <t>1JB03CS101</t>
  </si>
  <si>
    <t>Student 102</t>
  </si>
  <si>
    <t>2AK</t>
  </si>
  <si>
    <t>25086</t>
  </si>
  <si>
    <t>1JB03CS102</t>
  </si>
  <si>
    <t>Student 103</t>
  </si>
  <si>
    <t>16197</t>
  </si>
  <si>
    <t>1JB03CS103</t>
  </si>
  <si>
    <t>Student 104</t>
  </si>
  <si>
    <t>16449</t>
  </si>
  <si>
    <t>1JB03CS104</t>
  </si>
  <si>
    <t>Student 105</t>
  </si>
  <si>
    <t>12817</t>
  </si>
  <si>
    <t>1JB03CS105</t>
  </si>
  <si>
    <t>Student 106</t>
  </si>
  <si>
    <t>1JB03CS106</t>
  </si>
  <si>
    <t>Student 107</t>
  </si>
  <si>
    <t>44064</t>
  </si>
  <si>
    <t>1JB03CS107</t>
  </si>
  <si>
    <t>Student 108</t>
  </si>
  <si>
    <t>45662</t>
  </si>
  <si>
    <t>1JB03CS108</t>
  </si>
  <si>
    <t>Student 109</t>
  </si>
  <si>
    <t>16059</t>
  </si>
  <si>
    <t>1JB03CS109</t>
  </si>
  <si>
    <t>Student 110</t>
  </si>
  <si>
    <t>SCGH</t>
  </si>
  <si>
    <t>SCH</t>
  </si>
  <si>
    <t>56091</t>
  </si>
  <si>
    <t>1JB03CS110</t>
  </si>
  <si>
    <t>Student 111</t>
  </si>
  <si>
    <t>20999</t>
  </si>
  <si>
    <t>1JB03CS111</t>
  </si>
  <si>
    <t>Student 112</t>
  </si>
  <si>
    <t>1JB03CS112</t>
  </si>
  <si>
    <t>Student 113</t>
  </si>
  <si>
    <t>14826</t>
  </si>
  <si>
    <t>1JB03CS113</t>
  </si>
  <si>
    <t>Student 114</t>
  </si>
  <si>
    <t>1JB03CS114</t>
  </si>
  <si>
    <t>Student 115</t>
  </si>
  <si>
    <t>GULBARGA</t>
  </si>
  <si>
    <t>54416</t>
  </si>
  <si>
    <t>1JB03CS115</t>
  </si>
  <si>
    <t>Student 116</t>
  </si>
  <si>
    <t>1JB03CS116</t>
  </si>
  <si>
    <t>Student 117</t>
  </si>
  <si>
    <t>15962</t>
  </si>
  <si>
    <t>1JB03CS117</t>
  </si>
  <si>
    <t>Student 118</t>
  </si>
  <si>
    <t>13255</t>
  </si>
  <si>
    <t>1JB03CS118</t>
  </si>
  <si>
    <t>Student 119</t>
  </si>
  <si>
    <t>21258</t>
  </si>
  <si>
    <t>1JB03CS119</t>
  </si>
  <si>
    <t>Student 120</t>
  </si>
  <si>
    <t>1JB03CS120</t>
  </si>
  <si>
    <t>Student 121</t>
  </si>
  <si>
    <t>1JB03CS121</t>
  </si>
  <si>
    <t>Student 122</t>
  </si>
  <si>
    <t>23263</t>
  </si>
  <si>
    <t>1JB03CS122</t>
  </si>
  <si>
    <t>Student 123</t>
  </si>
  <si>
    <t>19601G55</t>
  </si>
  <si>
    <t>1JB03CS123</t>
  </si>
  <si>
    <t>Student 124</t>
  </si>
  <si>
    <t>14490</t>
  </si>
  <si>
    <t>1JB03CS124</t>
  </si>
  <si>
    <t>Student 125</t>
  </si>
  <si>
    <t>23748</t>
  </si>
  <si>
    <t>1JB03CS125</t>
  </si>
  <si>
    <t>Student 126</t>
  </si>
  <si>
    <t>14123</t>
  </si>
  <si>
    <t>1JB03CS126</t>
  </si>
  <si>
    <t>Student 127</t>
  </si>
  <si>
    <t>13915</t>
  </si>
  <si>
    <t>1JB03CS127</t>
  </si>
  <si>
    <t>Student 128</t>
  </si>
  <si>
    <t>24189</t>
  </si>
  <si>
    <t>1JB03CS128</t>
  </si>
  <si>
    <t>Student 129</t>
  </si>
  <si>
    <t>21775</t>
  </si>
  <si>
    <t>1JB03CS129</t>
  </si>
  <si>
    <t>Student 130</t>
  </si>
  <si>
    <t>107501</t>
  </si>
  <si>
    <t>1JB03CS130</t>
  </si>
  <si>
    <t>Student 131</t>
  </si>
  <si>
    <t>18977</t>
  </si>
  <si>
    <t>1JB03CS131</t>
  </si>
  <si>
    <t>Student 132</t>
  </si>
  <si>
    <t>10813</t>
  </si>
  <si>
    <t>1JB03CS132</t>
  </si>
  <si>
    <t>Student 133</t>
  </si>
  <si>
    <t>24381</t>
  </si>
  <si>
    <t>1JB03CS133</t>
  </si>
  <si>
    <t>Student 134</t>
  </si>
  <si>
    <t>2AGH</t>
  </si>
  <si>
    <t>RAICHUR</t>
  </si>
  <si>
    <t>22451</t>
  </si>
  <si>
    <t>1JB03CS134</t>
  </si>
  <si>
    <t>Student 135</t>
  </si>
  <si>
    <t>12704</t>
  </si>
  <si>
    <t>1JB03CS135</t>
  </si>
  <si>
    <t>Student 136</t>
  </si>
  <si>
    <t>27941</t>
  </si>
  <si>
    <t>1JB03CS136</t>
  </si>
  <si>
    <t>Student 137</t>
  </si>
  <si>
    <t>14195</t>
  </si>
  <si>
    <t>1JB03CS137</t>
  </si>
  <si>
    <t>Student 138</t>
  </si>
  <si>
    <t>18234</t>
  </si>
  <si>
    <t>1JB03CS138</t>
  </si>
  <si>
    <t>Student 139</t>
  </si>
  <si>
    <t>17540</t>
  </si>
  <si>
    <t>1JB03CS139</t>
  </si>
  <si>
    <t>Student 140</t>
  </si>
  <si>
    <t>22209</t>
  </si>
  <si>
    <t>1JB03CS140</t>
  </si>
  <si>
    <t>Student 141</t>
  </si>
  <si>
    <t>2AGRK</t>
  </si>
  <si>
    <t>GMK</t>
  </si>
  <si>
    <t>23632</t>
  </si>
  <si>
    <t>1JB03CS141</t>
  </si>
  <si>
    <t>Student 142</t>
  </si>
  <si>
    <t>1JB03CS142</t>
  </si>
  <si>
    <t>Student 143</t>
  </si>
  <si>
    <t>157966</t>
  </si>
  <si>
    <t>1JB03CS143</t>
  </si>
  <si>
    <t>Student 144</t>
  </si>
  <si>
    <t>1JB03CS144</t>
  </si>
  <si>
    <t>Student 145</t>
  </si>
  <si>
    <t>23433</t>
  </si>
  <si>
    <t>1JB03CS145</t>
  </si>
  <si>
    <t>Student 146</t>
  </si>
  <si>
    <t>ODISHA</t>
  </si>
  <si>
    <t>1JB03CS146</t>
  </si>
  <si>
    <t>Student 147</t>
  </si>
  <si>
    <t>19918</t>
  </si>
  <si>
    <t>1JB03CS147</t>
  </si>
  <si>
    <t>Student 148</t>
  </si>
  <si>
    <t>20758</t>
  </si>
  <si>
    <t>1JB03CS148</t>
  </si>
  <si>
    <t>Student 149</t>
  </si>
  <si>
    <t>23197</t>
  </si>
  <si>
    <t>1JB03CS149</t>
  </si>
  <si>
    <t>Student 150</t>
  </si>
  <si>
    <t>17229</t>
  </si>
  <si>
    <t>1JB03CS150</t>
  </si>
  <si>
    <t>Student 151</t>
  </si>
  <si>
    <t>22810</t>
  </si>
  <si>
    <t>1JB03CS151</t>
  </si>
  <si>
    <t>Student 152</t>
  </si>
  <si>
    <t>13921</t>
  </si>
  <si>
    <t>1JB03CS152</t>
  </si>
  <si>
    <t>Student 153</t>
  </si>
  <si>
    <t>17370</t>
  </si>
  <si>
    <t>1JB03CS153</t>
  </si>
  <si>
    <t>Student 154</t>
  </si>
  <si>
    <t>110530</t>
  </si>
  <si>
    <t>1JB03CS154</t>
  </si>
  <si>
    <t>Student 155</t>
  </si>
  <si>
    <t>16991</t>
  </si>
  <si>
    <t>1JB03CS155</t>
  </si>
  <si>
    <t>Student 156</t>
  </si>
  <si>
    <t>24851</t>
  </si>
  <si>
    <t>1JB03CS156</t>
  </si>
  <si>
    <t>Student 157</t>
  </si>
  <si>
    <t>15815</t>
  </si>
  <si>
    <t>1JB03CS157</t>
  </si>
  <si>
    <t>Student 158</t>
  </si>
  <si>
    <t>HK</t>
  </si>
  <si>
    <t>42020</t>
  </si>
  <si>
    <t>1JB03CS158</t>
  </si>
  <si>
    <t>Student 159</t>
  </si>
  <si>
    <t>14937</t>
  </si>
  <si>
    <t>1JB03CS159</t>
  </si>
  <si>
    <t>Student 160</t>
  </si>
  <si>
    <t>21905</t>
  </si>
  <si>
    <t>1JB03CS160</t>
  </si>
  <si>
    <t>Student 161</t>
  </si>
  <si>
    <t>23591</t>
  </si>
  <si>
    <t>1JB03CS161</t>
  </si>
  <si>
    <t>Student 162</t>
  </si>
  <si>
    <t>43018</t>
  </si>
  <si>
    <t>1JB03CS162</t>
  </si>
  <si>
    <t>Student 163</t>
  </si>
  <si>
    <t>24383</t>
  </si>
  <si>
    <t>1JB03CS163</t>
  </si>
  <si>
    <t>Student 164</t>
  </si>
  <si>
    <t>20293</t>
  </si>
  <si>
    <t>1JB03CS164</t>
  </si>
  <si>
    <t>Student 165</t>
  </si>
  <si>
    <t>18674</t>
  </si>
  <si>
    <t>1JB03CS165</t>
  </si>
  <si>
    <t>Student 166</t>
  </si>
  <si>
    <t>1JB03CS166</t>
  </si>
  <si>
    <t>Student 167</t>
  </si>
  <si>
    <t>1JB03CS167</t>
  </si>
  <si>
    <t>Student 168</t>
  </si>
  <si>
    <t>12982</t>
  </si>
  <si>
    <t>1JB03CS168</t>
  </si>
  <si>
    <t>Student 169</t>
  </si>
  <si>
    <t>1JB03CS169</t>
  </si>
  <si>
    <t>Student 170</t>
  </si>
  <si>
    <t>19242</t>
  </si>
  <si>
    <t>1JB03CS170</t>
  </si>
  <si>
    <t>Student 171</t>
  </si>
  <si>
    <t>26/08/2023</t>
  </si>
  <si>
    <t>1JB03CS171</t>
  </si>
  <si>
    <t>Student 172</t>
  </si>
  <si>
    <t>1GH</t>
  </si>
  <si>
    <t>18960</t>
  </si>
  <si>
    <t>1JB03CS172</t>
  </si>
  <si>
    <t>Student 173</t>
  </si>
  <si>
    <t>15784</t>
  </si>
  <si>
    <t>1JB03CS173</t>
  </si>
  <si>
    <t>Student 174</t>
  </si>
  <si>
    <t>16637</t>
  </si>
  <si>
    <t>1JB03CS174</t>
  </si>
  <si>
    <t>Student 175</t>
  </si>
  <si>
    <t>DAVANAGERE</t>
  </si>
  <si>
    <t>14526</t>
  </si>
  <si>
    <t>1JB03CS175</t>
  </si>
  <si>
    <t>Student 176</t>
  </si>
  <si>
    <t>19674</t>
  </si>
  <si>
    <t>1JB03CS176</t>
  </si>
  <si>
    <t>Student 177</t>
  </si>
  <si>
    <t>CHAMARAJANAGAR</t>
  </si>
  <si>
    <t>18292</t>
  </si>
  <si>
    <t>1JB03CS177</t>
  </si>
  <si>
    <t>Student 178</t>
  </si>
  <si>
    <t>202940</t>
  </si>
  <si>
    <t>1JB03CS178</t>
  </si>
  <si>
    <t>Student 179</t>
  </si>
  <si>
    <t>1JB03CS179</t>
  </si>
  <si>
    <t>Student 180</t>
  </si>
  <si>
    <t>41791</t>
  </si>
  <si>
    <t>1JB03CS180</t>
  </si>
  <si>
    <t>Student 181</t>
  </si>
  <si>
    <t>GADAG</t>
  </si>
  <si>
    <t>17690</t>
  </si>
  <si>
    <t>1JB03CS181</t>
  </si>
  <si>
    <t>Student 182</t>
  </si>
  <si>
    <t>1JB03CS182</t>
  </si>
  <si>
    <t>Student 183</t>
  </si>
  <si>
    <t>22195</t>
  </si>
  <si>
    <t>1JB03CS183</t>
  </si>
  <si>
    <t>Student 184</t>
  </si>
  <si>
    <t>14742</t>
  </si>
  <si>
    <t>1JB03CS184</t>
  </si>
  <si>
    <t>Student 185</t>
  </si>
  <si>
    <t>ANDRA PRADESH</t>
  </si>
  <si>
    <t>24117</t>
  </si>
  <si>
    <t>1JB03CS185</t>
  </si>
  <si>
    <t>Student 186</t>
  </si>
  <si>
    <t>BELGAUM</t>
  </si>
  <si>
    <t>32290</t>
  </si>
  <si>
    <t>1JB03CS186</t>
  </si>
  <si>
    <t>Student 187</t>
  </si>
  <si>
    <t>37081</t>
  </si>
  <si>
    <t>1JB03CS187</t>
  </si>
  <si>
    <t>Student 188</t>
  </si>
  <si>
    <t>29412</t>
  </si>
  <si>
    <t>1JB03CS188</t>
  </si>
  <si>
    <t>Student 189</t>
  </si>
  <si>
    <t>41766</t>
  </si>
  <si>
    <t>1JB03CS189</t>
  </si>
  <si>
    <t>Student 190</t>
  </si>
  <si>
    <t>DIPLOMA  CET</t>
  </si>
  <si>
    <t>2131</t>
  </si>
  <si>
    <t>1JB03CS190</t>
  </si>
  <si>
    <t>Student 191</t>
  </si>
  <si>
    <t>4030</t>
  </si>
  <si>
    <t>1JB03CS191</t>
  </si>
  <si>
    <t>Student 192</t>
  </si>
  <si>
    <t>3240</t>
  </si>
  <si>
    <t>1JB03CS192</t>
  </si>
  <si>
    <t>Student 193</t>
  </si>
  <si>
    <t>7190</t>
  </si>
  <si>
    <t>1JB03CS193</t>
  </si>
  <si>
    <t>Student 194</t>
  </si>
  <si>
    <t>1305</t>
  </si>
  <si>
    <t>1JB03CS194</t>
  </si>
  <si>
    <t>Student 195</t>
  </si>
  <si>
    <t>2768</t>
  </si>
  <si>
    <t>1JB03CS195</t>
  </si>
  <si>
    <t>Student 196</t>
  </si>
  <si>
    <t>3533</t>
  </si>
  <si>
    <t>1JB03CS196</t>
  </si>
  <si>
    <t>Student 197</t>
  </si>
  <si>
    <t>3234</t>
  </si>
  <si>
    <t>1JB03CS197</t>
  </si>
  <si>
    <t>Student 198</t>
  </si>
  <si>
    <t>2895</t>
  </si>
  <si>
    <t>1JB03CS198</t>
  </si>
  <si>
    <t>Student 199</t>
  </si>
  <si>
    <t>13884</t>
  </si>
  <si>
    <t>1JB03CS199</t>
  </si>
  <si>
    <t>Student 200</t>
  </si>
  <si>
    <t>3298</t>
  </si>
  <si>
    <t>1JB03CS200</t>
  </si>
  <si>
    <t>Student 201</t>
  </si>
  <si>
    <t>3215</t>
  </si>
  <si>
    <t>1JB03CS201</t>
  </si>
  <si>
    <t>Student 202</t>
  </si>
  <si>
    <t>8319</t>
  </si>
  <si>
    <t>1JB03CS202</t>
  </si>
  <si>
    <t>Student 203</t>
  </si>
  <si>
    <t>3660</t>
  </si>
  <si>
    <t>1JB03CS203</t>
  </si>
  <si>
    <t>Student 204</t>
  </si>
  <si>
    <t>3386</t>
  </si>
  <si>
    <t>Coordinator</t>
  </si>
  <si>
    <t>HOD</t>
  </si>
  <si>
    <t>Dean</t>
  </si>
  <si>
    <t>DEPARTMENT OF  CSE</t>
  </si>
  <si>
    <t xml:space="preserve">Result Analysis –Course wise (2/12) </t>
  </si>
  <si>
    <r>
      <rPr>
        <rFont val="Times New Roman"/>
        <b/>
        <color theme="1"/>
        <sz val="14.0"/>
      </rPr>
      <t xml:space="preserve">     </t>
    </r>
    <r>
      <rPr>
        <rFont val="Times New Roman"/>
        <b/>
        <color theme="1"/>
        <sz val="14.0"/>
        <u/>
      </rPr>
      <t>Sem:</t>
    </r>
    <r>
      <rPr>
        <rFont val="Times New Roman"/>
        <b/>
        <color theme="1"/>
        <sz val="14.0"/>
      </rPr>
      <t xml:space="preserve">         5C                                             </t>
    </r>
    <r>
      <rPr>
        <rFont val="Times New Roman"/>
        <b/>
        <color theme="1"/>
        <sz val="14.0"/>
        <u/>
      </rPr>
      <t>Batch</t>
    </r>
    <r>
      <rPr>
        <rFont val="Times New Roman"/>
        <b/>
        <color theme="1"/>
        <sz val="14.0"/>
      </rPr>
      <t xml:space="preserve">:    2003-2007                                                </t>
    </r>
    <r>
      <rPr>
        <rFont val="Times New Roman"/>
        <b/>
        <color theme="1"/>
        <sz val="14.0"/>
        <u/>
      </rPr>
      <t>Exam</t>
    </r>
    <r>
      <rPr>
        <rFont val="Times New Roman"/>
        <b/>
        <color theme="1"/>
        <sz val="14.0"/>
      </rPr>
      <t>: DEC 2005</t>
    </r>
  </si>
  <si>
    <t>Sl. No.</t>
  </si>
  <si>
    <t>Subject Name</t>
  </si>
  <si>
    <t>Subject Code</t>
  </si>
  <si>
    <t>Name of the Faculty</t>
  </si>
  <si>
    <t>Total Strength</t>
  </si>
  <si>
    <t>No. of students Appeared</t>
  </si>
  <si>
    <t>No. of students passed</t>
  </si>
  <si>
    <t>Pass %</t>
  </si>
  <si>
    <t>No. of students Failed</t>
  </si>
  <si>
    <t>Fail %</t>
  </si>
  <si>
    <t>No. of students scored 50-59</t>
  </si>
  <si>
    <t>No. of students scored 60-69</t>
  </si>
  <si>
    <t>No. of students scored  ≥70</t>
  </si>
  <si>
    <t>CN</t>
  </si>
  <si>
    <t>23CST501</t>
  </si>
  <si>
    <t>Teacher 1</t>
  </si>
  <si>
    <t>SE&amp;PM</t>
  </si>
  <si>
    <t>23CSI502</t>
  </si>
  <si>
    <t>Teacher 2</t>
  </si>
  <si>
    <t>DBMS</t>
  </si>
  <si>
    <t>23CSI503</t>
  </si>
  <si>
    <t>Teacher 3</t>
  </si>
  <si>
    <t>A. JAVA (PE)</t>
  </si>
  <si>
    <t>23CSP512</t>
  </si>
  <si>
    <t>Teacher 4</t>
  </si>
  <si>
    <t>DVT (ETC)</t>
  </si>
  <si>
    <t>23CSE532</t>
  </si>
  <si>
    <t>Teacher 5</t>
  </si>
  <si>
    <t>React JS(ETC)</t>
  </si>
  <si>
    <t>23CSE534</t>
  </si>
  <si>
    <t>Teacher 6</t>
  </si>
  <si>
    <t>Bioscience</t>
  </si>
  <si>
    <t>23SFHH06</t>
  </si>
  <si>
    <t>Teacher 7</t>
  </si>
  <si>
    <t>_</t>
  </si>
  <si>
    <t>Cloud computing</t>
  </si>
  <si>
    <t>23CSAE52</t>
  </si>
  <si>
    <t>Teacher 8</t>
  </si>
  <si>
    <t>PE</t>
  </si>
  <si>
    <t>23PASN01</t>
  </si>
  <si>
    <t>Teacher 9</t>
  </si>
  <si>
    <t>NSS</t>
  </si>
  <si>
    <t>23NSSN03</t>
  </si>
  <si>
    <t>Teacher 10</t>
  </si>
  <si>
    <t>IKS</t>
  </si>
  <si>
    <t>23IKSN05</t>
  </si>
  <si>
    <t>Teacher 11</t>
  </si>
  <si>
    <t>CN Lab</t>
  </si>
  <si>
    <t>23CSL504</t>
  </si>
  <si>
    <t>Teacher 12</t>
  </si>
  <si>
    <r>
      <rPr>
        <rFont val="Times New Roman"/>
        <b/>
        <color theme="1"/>
        <sz val="12.0"/>
      </rPr>
      <t xml:space="preserve">     </t>
    </r>
    <r>
      <rPr>
        <rFont val="Times New Roman"/>
        <b/>
        <color theme="1"/>
        <sz val="12.0"/>
        <u/>
      </rPr>
      <t>Sem:</t>
    </r>
    <r>
      <rPr>
        <rFont val="Times New Roman"/>
        <b/>
        <color theme="1"/>
        <sz val="12.0"/>
      </rPr>
      <t xml:space="preserve">         5B                                             </t>
    </r>
    <r>
      <rPr>
        <rFont val="Times New Roman"/>
        <b/>
        <color theme="1"/>
        <sz val="12.0"/>
        <u/>
      </rPr>
      <t>Batch</t>
    </r>
    <r>
      <rPr>
        <rFont val="Times New Roman"/>
        <b/>
        <color theme="1"/>
        <sz val="12.0"/>
      </rPr>
      <t xml:space="preserve">:    2003-07                                                </t>
    </r>
    <r>
      <rPr>
        <rFont val="Times New Roman"/>
        <b/>
        <color theme="1"/>
        <sz val="12.0"/>
        <u/>
      </rPr>
      <t>Exam</t>
    </r>
    <r>
      <rPr>
        <rFont val="Times New Roman"/>
        <b/>
        <color theme="1"/>
        <sz val="12.0"/>
      </rPr>
      <t>: DEC 2005</t>
    </r>
  </si>
  <si>
    <r>
      <rPr>
        <rFont val="Times New Roman"/>
        <b/>
        <color theme="1"/>
        <sz val="12.0"/>
      </rPr>
      <t xml:space="preserve">     </t>
    </r>
    <r>
      <rPr>
        <rFont val="Times New Roman"/>
        <b/>
        <color theme="1"/>
        <sz val="12.0"/>
        <u/>
      </rPr>
      <t>Sem:</t>
    </r>
    <r>
      <rPr>
        <rFont val="Times New Roman"/>
        <b/>
        <color theme="1"/>
        <sz val="12.0"/>
      </rPr>
      <t xml:space="preserve">         5A                                              </t>
    </r>
    <r>
      <rPr>
        <rFont val="Times New Roman"/>
        <b/>
        <color theme="1"/>
        <sz val="12.0"/>
        <u/>
      </rPr>
      <t>Batch</t>
    </r>
    <r>
      <rPr>
        <rFont val="Times New Roman"/>
        <b/>
        <color theme="1"/>
        <sz val="12.0"/>
      </rPr>
      <t xml:space="preserve">:    2003-07                                                </t>
    </r>
    <r>
      <rPr>
        <rFont val="Times New Roman"/>
        <b/>
        <color theme="1"/>
        <sz val="12.0"/>
        <u/>
      </rPr>
      <t>Exam</t>
    </r>
    <r>
      <rPr>
        <rFont val="Times New Roman"/>
        <b/>
        <color theme="1"/>
        <sz val="12.0"/>
      </rPr>
      <t>: DEC 2005</t>
    </r>
  </si>
  <si>
    <t>Teacher 13</t>
  </si>
  <si>
    <t>Teacher 14</t>
  </si>
  <si>
    <t>Teacher 15</t>
  </si>
  <si>
    <t>Teacher 16</t>
  </si>
  <si>
    <t>Teacher 17</t>
  </si>
  <si>
    <t>Teacher 18</t>
  </si>
  <si>
    <t>Teacher 19</t>
  </si>
  <si>
    <t>Teacher 20</t>
  </si>
  <si>
    <t>Teacher 21</t>
  </si>
  <si>
    <t>Teacher 22</t>
  </si>
  <si>
    <t>Teacher 23</t>
  </si>
  <si>
    <t>Teacher 24</t>
  </si>
  <si>
    <t>Result Analysis –  Semester Wise (3/12)</t>
  </si>
  <si>
    <r>
      <rPr>
        <rFont val="Times New Roman"/>
        <b/>
        <color theme="1"/>
        <sz val="14.0"/>
        <u/>
      </rPr>
      <t>Sem:</t>
    </r>
    <r>
      <rPr>
        <rFont val="Times New Roman"/>
        <b/>
        <color theme="1"/>
        <sz val="14.0"/>
      </rPr>
      <t xml:space="preserve">     5                                 </t>
    </r>
    <r>
      <rPr>
        <rFont val="Times New Roman"/>
        <b/>
        <color theme="1"/>
        <sz val="14.0"/>
        <u/>
      </rPr>
      <t>Batch</t>
    </r>
    <r>
      <rPr>
        <rFont val="Times New Roman"/>
        <b/>
        <color theme="1"/>
        <sz val="14.0"/>
      </rPr>
      <t xml:space="preserve">:    2003-07                                                </t>
    </r>
    <r>
      <rPr>
        <rFont val="Times New Roman"/>
        <b/>
        <color theme="1"/>
        <sz val="14.0"/>
        <u/>
      </rPr>
      <t>Exam</t>
    </r>
    <r>
      <rPr>
        <rFont val="Times New Roman"/>
        <b/>
        <color theme="1"/>
        <sz val="14.0"/>
      </rPr>
      <t>: DEC 2005</t>
    </r>
  </si>
  <si>
    <t>No. of</t>
  </si>
  <si>
    <t>Pass</t>
  </si>
  <si>
    <t>Fail</t>
  </si>
  <si>
    <t>SGPA</t>
  </si>
  <si>
    <t>Students </t>
  </si>
  <si>
    <t>No.</t>
  </si>
  <si>
    <t>%</t>
  </si>
  <si>
    <t>&lt;4</t>
  </si>
  <si>
    <r>
      <rPr>
        <rFont val="Times New Roman"/>
        <b/>
        <color rgb="FF000000"/>
        <sz val="12.0"/>
      </rPr>
      <t xml:space="preserve">≥ 4 </t>
    </r>
    <r>
      <rPr>
        <rFont val="Aptos Narrow"/>
        <b/>
        <color rgb="FF000000"/>
        <sz val="12.0"/>
      </rPr>
      <t>&lt;</t>
    </r>
    <r>
      <rPr>
        <rFont val="Times New Roman"/>
        <b/>
        <color rgb="FF000000"/>
        <sz val="12.0"/>
      </rPr>
      <t xml:space="preserve"> 5</t>
    </r>
  </si>
  <si>
    <r>
      <rPr>
        <rFont val="Times New Roman"/>
        <b/>
        <color rgb="FF000000"/>
        <sz val="12.0"/>
      </rPr>
      <t xml:space="preserve">≥ 5 </t>
    </r>
    <r>
      <rPr>
        <rFont val="Aptos Narrow"/>
        <b/>
        <color rgb="FF000000"/>
        <sz val="12.0"/>
      </rPr>
      <t>&lt; 6</t>
    </r>
  </si>
  <si>
    <r>
      <rPr>
        <rFont val="Times New Roman"/>
        <b/>
        <color rgb="FF000000"/>
        <sz val="12.0"/>
      </rPr>
      <t xml:space="preserve">≥ 6 </t>
    </r>
    <r>
      <rPr>
        <rFont val="Aptos Narrow"/>
        <b/>
        <color rgb="FF000000"/>
        <sz val="12.0"/>
      </rPr>
      <t>&lt;</t>
    </r>
    <r>
      <rPr>
        <rFont val="Times New Roman"/>
        <b/>
        <color rgb="FF000000"/>
        <sz val="12.0"/>
      </rPr>
      <t xml:space="preserve"> 7</t>
    </r>
  </si>
  <si>
    <r>
      <rPr>
        <rFont val="Times New Roman"/>
        <b/>
        <color rgb="FF000000"/>
        <sz val="12.0"/>
      </rPr>
      <t xml:space="preserve">≥ 7 </t>
    </r>
    <r>
      <rPr>
        <rFont val="Aptos Narrow"/>
        <b/>
        <color rgb="FF000000"/>
        <sz val="12.0"/>
      </rPr>
      <t>&lt;</t>
    </r>
    <r>
      <rPr>
        <rFont val="Times New Roman"/>
        <b/>
        <color rgb="FF000000"/>
        <sz val="12.0"/>
      </rPr>
      <t xml:space="preserve"> 8</t>
    </r>
  </si>
  <si>
    <r>
      <rPr>
        <rFont val="Times New Roman"/>
        <b/>
        <color rgb="FF000000"/>
        <sz val="12.0"/>
      </rPr>
      <t xml:space="preserve">≥ 8 </t>
    </r>
    <r>
      <rPr>
        <rFont val="Aptos Narrow"/>
        <b/>
        <color rgb="FF000000"/>
        <sz val="12.0"/>
      </rPr>
      <t>&lt;</t>
    </r>
    <r>
      <rPr>
        <rFont val="Times New Roman"/>
        <b/>
        <color rgb="FF000000"/>
        <sz val="12.0"/>
      </rPr>
      <t xml:space="preserve"> 9</t>
    </r>
  </si>
  <si>
    <r>
      <rPr>
        <rFont val="Times New Roman"/>
        <b/>
        <color rgb="FF000000"/>
        <sz val="12.0"/>
      </rPr>
      <t xml:space="preserve">≥ 9 </t>
    </r>
    <r>
      <rPr>
        <rFont val="Aptos Narrow"/>
        <b/>
        <color rgb="FF000000"/>
        <sz val="12.0"/>
      </rPr>
      <t>≤</t>
    </r>
    <r>
      <rPr>
        <rFont val="Times New Roman"/>
        <b/>
        <color rgb="FF000000"/>
        <sz val="12.0"/>
      </rPr>
      <t xml:space="preserve"> 10</t>
    </r>
  </si>
  <si>
    <t>I</t>
  </si>
  <si>
    <t>II</t>
  </si>
  <si>
    <t>III</t>
  </si>
  <si>
    <t>IV</t>
  </si>
  <si>
    <t>VI</t>
  </si>
  <si>
    <t>VII</t>
  </si>
  <si>
    <t>VIII</t>
  </si>
  <si>
    <t>VA</t>
  </si>
  <si>
    <t>VB</t>
  </si>
  <si>
    <t>VC</t>
  </si>
  <si>
    <t xml:space="preserve">Result Analysis –  Semester Wise (4/12) </t>
  </si>
  <si>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4.0"/>
        <u/>
      </rPr>
      <t>Sem:</t>
    </r>
    <r>
      <rPr>
        <rFont val="Times New Roman"/>
        <b/>
        <color theme="1"/>
        <sz val="14.0"/>
      </rPr>
      <t xml:space="preserve">   5                        </t>
    </r>
    <r>
      <rPr>
        <rFont val="Times New Roman"/>
        <b/>
        <color theme="1"/>
        <sz val="14.0"/>
        <u/>
      </rPr>
      <t>Batch</t>
    </r>
    <r>
      <rPr>
        <rFont val="Times New Roman"/>
        <b/>
        <color theme="1"/>
        <sz val="14.0"/>
      </rPr>
      <t xml:space="preserve">:    2003-07                   </t>
    </r>
    <r>
      <rPr>
        <rFont val="Times New Roman"/>
        <b/>
        <color theme="1"/>
        <sz val="14.0"/>
        <u/>
      </rPr>
      <t>Exam</t>
    </r>
    <r>
      <rPr>
        <rFont val="Times New Roman"/>
        <b/>
        <color theme="1"/>
        <sz val="14.0"/>
      </rPr>
      <t>: DEC  2005</t>
    </r>
  </si>
  <si>
    <t>FCD</t>
  </si>
  <si>
    <t>FC</t>
  </si>
  <si>
    <t>FCD%</t>
  </si>
  <si>
    <t>FC%</t>
  </si>
  <si>
    <t>SC%</t>
  </si>
  <si>
    <t>Nil</t>
  </si>
  <si>
    <t xml:space="preserve"> -</t>
  </si>
  <si>
    <t>1V</t>
  </si>
  <si>
    <t>IV A</t>
  </si>
  <si>
    <t>IV B</t>
  </si>
  <si>
    <t>IV C</t>
  </si>
  <si>
    <t>Result Analysis – All Semester (5/12)</t>
  </si>
  <si>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4.0"/>
        <u/>
      </rPr>
      <t>Sem:</t>
    </r>
    <r>
      <rPr>
        <rFont val="Times New Roman"/>
        <b/>
        <color theme="1"/>
        <sz val="14.0"/>
      </rPr>
      <t xml:space="preserve"> 5                      </t>
    </r>
    <r>
      <rPr>
        <rFont val="Times New Roman"/>
        <b/>
        <color theme="1"/>
        <sz val="14.0"/>
        <u/>
      </rPr>
      <t>Batch</t>
    </r>
    <r>
      <rPr>
        <rFont val="Times New Roman"/>
        <b/>
        <color theme="1"/>
        <sz val="14.0"/>
      </rPr>
      <t xml:space="preserve">: 2003-2007                                     </t>
    </r>
    <r>
      <rPr>
        <rFont val="Times New Roman"/>
        <b/>
        <color theme="1"/>
        <sz val="14.0"/>
        <u/>
      </rPr>
      <t>Exam</t>
    </r>
    <r>
      <rPr>
        <rFont val="Times New Roman"/>
        <b/>
        <color theme="1"/>
        <sz val="14.0"/>
      </rPr>
      <t>: DEC 2005</t>
    </r>
  </si>
  <si>
    <t>2023-2027</t>
  </si>
  <si>
    <t>2022-2026</t>
  </si>
  <si>
    <t>2021-2025</t>
  </si>
  <si>
    <t>2020-2024</t>
  </si>
  <si>
    <t>Total No. of Students Passed</t>
  </si>
  <si>
    <t>GRADE &gt;7</t>
  </si>
  <si>
    <t>2003-2007</t>
  </si>
  <si>
    <t>2002-2006</t>
  </si>
  <si>
    <t>2001-2005</t>
  </si>
  <si>
    <t>2000-2004</t>
  </si>
  <si>
    <t>Total Students</t>
  </si>
  <si>
    <t>GRADE 6-7</t>
  </si>
  <si>
    <t>GRADE &lt;6</t>
  </si>
  <si>
    <t>DEPARTMENT OFCSE</t>
  </si>
  <si>
    <t>Semester Topper Details (6/12)</t>
  </si>
  <si>
    <t>Sem : 5</t>
  </si>
  <si>
    <t xml:space="preserve"> Batch:  2003-2007</t>
  </si>
  <si>
    <t>Exam: DEC 2005</t>
  </si>
  <si>
    <t>Sl. No</t>
  </si>
  <si>
    <t>USN</t>
  </si>
  <si>
    <t xml:space="preserve">NAMES </t>
  </si>
  <si>
    <t xml:space="preserve"> </t>
  </si>
  <si>
    <t>Consolidated Topper Details (7/12)</t>
  </si>
  <si>
    <r>
      <rPr>
        <rFont val="Times New Roman"/>
        <b/>
        <color theme="1"/>
        <sz val="14.0"/>
        <u/>
      </rPr>
      <t>Sem:</t>
    </r>
    <r>
      <rPr>
        <rFont val="Times New Roman"/>
        <b/>
        <color theme="1"/>
        <sz val="14.0"/>
      </rPr>
      <t xml:space="preserve"> 5                                   </t>
    </r>
    <r>
      <rPr>
        <rFont val="Times New Roman"/>
        <b/>
        <color theme="1"/>
        <sz val="14.0"/>
        <u/>
      </rPr>
      <t>Batch</t>
    </r>
    <r>
      <rPr>
        <rFont val="Times New Roman"/>
        <b/>
        <color theme="1"/>
        <sz val="14.0"/>
      </rPr>
      <t xml:space="preserve">: 2003-2007                                     </t>
    </r>
    <r>
      <rPr>
        <rFont val="Times New Roman"/>
        <b/>
        <color theme="1"/>
        <sz val="14.0"/>
        <u/>
      </rPr>
      <t>Exam</t>
    </r>
    <r>
      <rPr>
        <rFont val="Times New Roman"/>
        <b/>
        <color theme="1"/>
        <sz val="14.0"/>
      </rPr>
      <t>: DEC 2005</t>
    </r>
  </si>
  <si>
    <t>NAMES</t>
  </si>
  <si>
    <t>CGPA</t>
  </si>
  <si>
    <t>V1</t>
  </si>
  <si>
    <t xml:space="preserve"> Backlog Details (8/12)</t>
  </si>
  <si>
    <r>
      <rPr>
        <rFont val="Times New Roman"/>
        <b/>
        <color theme="1"/>
        <sz val="14.0"/>
      </rPr>
      <t xml:space="preserve">     </t>
    </r>
    <r>
      <rPr>
        <rFont val="Times New Roman"/>
        <b/>
        <color theme="1"/>
        <sz val="14.0"/>
        <u/>
      </rPr>
      <t>Sem:</t>
    </r>
    <r>
      <rPr>
        <rFont val="Times New Roman"/>
        <b/>
        <color theme="1"/>
        <sz val="14.0"/>
      </rPr>
      <t xml:space="preserve"> 5                                                    </t>
    </r>
    <r>
      <rPr>
        <rFont val="Times New Roman"/>
        <b/>
        <color theme="1"/>
        <sz val="14.0"/>
        <u/>
      </rPr>
      <t>Batch</t>
    </r>
    <r>
      <rPr>
        <rFont val="Times New Roman"/>
        <b/>
        <color theme="1"/>
        <sz val="14.0"/>
      </rPr>
      <t xml:space="preserve">:    2003-2007                                                   </t>
    </r>
    <r>
      <rPr>
        <rFont val="Times New Roman"/>
        <b/>
        <color theme="1"/>
        <sz val="14.0"/>
        <u/>
      </rPr>
      <t>Exam</t>
    </r>
    <r>
      <rPr>
        <rFont val="Times New Roman"/>
        <b/>
        <color theme="1"/>
        <sz val="14.0"/>
      </rPr>
      <t>: DEC 2005</t>
    </r>
  </si>
  <si>
    <t>Name</t>
  </si>
  <si>
    <t>23CSL534</t>
  </si>
  <si>
    <t>23CSP512-19</t>
  </si>
  <si>
    <t>23CSE532-7</t>
  </si>
  <si>
    <t>23CSI503-25</t>
  </si>
  <si>
    <t>23CST501-19</t>
  </si>
  <si>
    <t>23CST501-21</t>
  </si>
  <si>
    <t>23CSI502-29</t>
  </si>
  <si>
    <t>23CSP512-28</t>
  </si>
  <si>
    <t>23CST501-16</t>
  </si>
  <si>
    <t>23CST501-27</t>
  </si>
  <si>
    <t>23CST501-11</t>
  </si>
  <si>
    <t>23CSI502-23</t>
  </si>
  <si>
    <t>23CSI503-18</t>
  </si>
  <si>
    <t>23CSI503-24</t>
  </si>
  <si>
    <t>23CST501-28</t>
  </si>
  <si>
    <t>23CSI502-28</t>
  </si>
  <si>
    <t>23CSI502-16</t>
  </si>
  <si>
    <t>23CSE532-27</t>
  </si>
  <si>
    <t xml:space="preserve">23CSL504 </t>
  </si>
  <si>
    <t>23CST501 - 4</t>
  </si>
  <si>
    <t>23CSI502 - 13</t>
  </si>
  <si>
    <t>23CSI503 - 18</t>
  </si>
  <si>
    <t>23CSP512 - 12</t>
  </si>
  <si>
    <t>23CSI502 - 29</t>
  </si>
  <si>
    <t>23CSP512 - 25</t>
  </si>
  <si>
    <t>Note: Marks to entered for failed subjects</t>
  </si>
  <si>
    <t xml:space="preserve"> Cumulative Backlog Details (9/12)</t>
  </si>
  <si>
    <r>
      <rPr>
        <rFont val="Times New Roman"/>
        <b/>
        <color theme="1"/>
        <sz val="14.0"/>
      </rPr>
      <t xml:space="preserve">     </t>
    </r>
    <r>
      <rPr>
        <rFont val="Times New Roman"/>
        <b/>
        <color theme="1"/>
        <sz val="14.0"/>
        <u/>
      </rPr>
      <t>Sem: 5</t>
    </r>
    <r>
      <rPr>
        <rFont val="Times New Roman"/>
        <b/>
        <color theme="1"/>
        <sz val="14.0"/>
      </rPr>
      <t xml:space="preserve">                                                                   </t>
    </r>
    <r>
      <rPr>
        <rFont val="Times New Roman"/>
        <b/>
        <color theme="1"/>
        <sz val="14.0"/>
        <u/>
      </rPr>
      <t>Batch</t>
    </r>
    <r>
      <rPr>
        <rFont val="Times New Roman"/>
        <b/>
        <color theme="1"/>
        <sz val="14.0"/>
      </rPr>
      <t xml:space="preserve">: 2003-2007                                       </t>
    </r>
    <r>
      <rPr>
        <rFont val="Times New Roman"/>
        <b/>
        <color theme="1"/>
        <sz val="14.0"/>
        <u/>
      </rPr>
      <t>Exam</t>
    </r>
    <r>
      <rPr>
        <rFont val="Times New Roman"/>
        <b/>
        <color theme="1"/>
        <sz val="14.0"/>
      </rPr>
      <t>:DEC 2005</t>
    </r>
  </si>
  <si>
    <t>23CSI301,302, 303,304,23CSE312</t>
  </si>
  <si>
    <t>23CSI403,23CSI404</t>
  </si>
  <si>
    <t>23MAT11A 23ECT13A, 23CVT14A</t>
  </si>
  <si>
    <t>23MAT21A</t>
  </si>
  <si>
    <t>23PHI22A, 23MET24A, 23CSAE21, 23MAT21A-NE, 23CPI25A - NE</t>
  </si>
  <si>
    <t>23CPI25A, 23MAT21A-NE</t>
  </si>
  <si>
    <t>23CST401</t>
  </si>
  <si>
    <t>23CSAE11</t>
  </si>
  <si>
    <t>23MAT21A, 23PHI22A, 23CPI25A</t>
  </si>
  <si>
    <t>23ECT13A, 23CSAE11(NE)</t>
  </si>
  <si>
    <t xml:space="preserve">23MAT21A, 23ENVH02, 23CPI25A - NE </t>
  </si>
  <si>
    <t>23CST402, 23CSL405, 23CSE422</t>
  </si>
  <si>
    <t>23CST501,23CSL504</t>
  </si>
  <si>
    <t>23PDSN01(NE)</t>
  </si>
  <si>
    <t xml:space="preserve">23MAT21A, 23CPI25A - NE </t>
  </si>
  <si>
    <t>23CSE422</t>
  </si>
  <si>
    <t>23CST501,23CSI502</t>
  </si>
  <si>
    <t>23CST401-10</t>
  </si>
  <si>
    <t>23ECT13A, 23CVT14A</t>
  </si>
  <si>
    <t>23MAT21A, 23MET24A, 23CPI25A</t>
  </si>
  <si>
    <t xml:space="preserve">23CSI403, 23CSE422, </t>
  </si>
  <si>
    <t>23MAT11A, 23CIPH05, 23ECT13A, 23CVT14A</t>
  </si>
  <si>
    <t>23EET23A, 23MAT21A - NE, 23PHI22A - NE, 23ENVH02 - NE</t>
  </si>
  <si>
    <t>23MAT11A</t>
  </si>
  <si>
    <t>23CST402, 23CSI404</t>
  </si>
  <si>
    <t>23CSI403</t>
  </si>
  <si>
    <t>23MAT11A , 23CHI12A,23ECT13A, 23CVT14A , 23CIPH05, 23PDSN01 , 23CSAE11, 23CDI15A (all subjects are NE)</t>
  </si>
  <si>
    <t xml:space="preserve">23CSE312 </t>
  </si>
  <si>
    <t>23CST401, 23CSI403, 23CSI404, 23CSL405, 23CSE422</t>
  </si>
  <si>
    <t>23CSP512,23CSE532</t>
  </si>
  <si>
    <t>23CST302</t>
  </si>
  <si>
    <t>23MAT11A, 23ECT13A</t>
  </si>
  <si>
    <t>23PHI22A, 23CSAE21, 23MAT21A - NE, 23MET24A - NE, 23CPI25A - NE, 23ENVH02 - NE</t>
  </si>
  <si>
    <t>23CST302,303,304,23CSE312</t>
  </si>
  <si>
    <t>23CST401,  23CST402, 23CSI403</t>
  </si>
  <si>
    <t>23CSI502, 23CSI503</t>
  </si>
  <si>
    <t>23CPI25A - NE</t>
  </si>
  <si>
    <t xml:space="preserve">23CSI503,23CSP512 </t>
  </si>
  <si>
    <t>23CSAE11 (NE)</t>
  </si>
  <si>
    <t>23CSL405</t>
  </si>
  <si>
    <t>23CSI301</t>
  </si>
  <si>
    <t>23CST401 , 23CSL405</t>
  </si>
  <si>
    <t>23PDSN01 - NP</t>
  </si>
  <si>
    <t xml:space="preserve">23CSI301 </t>
  </si>
  <si>
    <t>NE- all subjects</t>
  </si>
  <si>
    <t>Not attended classes-dropout</t>
  </si>
  <si>
    <t>23CST401, 23CSI404, 23CSE422</t>
  </si>
  <si>
    <t>23ENVH02 , 23CPI25A - NE</t>
  </si>
  <si>
    <t>23PDSN01 (NE)</t>
  </si>
  <si>
    <t xml:space="preserve">23CSL305 </t>
  </si>
  <si>
    <t>23MAT21A, 23CPI25A - NE</t>
  </si>
  <si>
    <t>23CST302,304,305,23CSE312</t>
  </si>
  <si>
    <t>23PDSN01-NE</t>
  </si>
  <si>
    <t>23CST302,305</t>
  </si>
  <si>
    <t>23CST301,302,303,304,305,23CSE312</t>
  </si>
  <si>
    <t>23CST501,  502,503, 23CSP512</t>
  </si>
  <si>
    <t>23CST302,303,305</t>
  </si>
  <si>
    <t>23CST401, 23CSI403</t>
  </si>
  <si>
    <t xml:space="preserve">23CSI502 </t>
  </si>
  <si>
    <t>Result Analysis – Catagory Wise (10/12)</t>
  </si>
  <si>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4.0"/>
        <u/>
      </rPr>
      <t>Sem:</t>
    </r>
    <r>
      <rPr>
        <rFont val="Times New Roman"/>
        <b/>
        <color theme="1"/>
        <sz val="14.0"/>
      </rPr>
      <t xml:space="preserve">  3                                                                   </t>
    </r>
    <r>
      <rPr>
        <rFont val="Times New Roman"/>
        <b/>
        <color theme="1"/>
        <sz val="14.0"/>
        <u/>
      </rPr>
      <t>Batch</t>
    </r>
    <r>
      <rPr>
        <rFont val="Times New Roman"/>
        <b/>
        <color theme="1"/>
        <sz val="14.0"/>
      </rPr>
      <t xml:space="preserve">:  2003-2007                                           </t>
    </r>
    <r>
      <rPr>
        <rFont val="Times New Roman"/>
        <b/>
        <color theme="1"/>
        <sz val="14.0"/>
        <u/>
      </rPr>
      <t>Exam</t>
    </r>
    <r>
      <rPr>
        <rFont val="Times New Roman"/>
        <b/>
        <color theme="1"/>
        <sz val="14.0"/>
      </rPr>
      <t>: Jan 2005</t>
    </r>
  </si>
  <si>
    <t>OBC</t>
  </si>
  <si>
    <t>Boys</t>
  </si>
  <si>
    <t>Girls</t>
  </si>
  <si>
    <t>Total</t>
  </si>
  <si>
    <t>P= 70</t>
  </si>
  <si>
    <t>F = 7</t>
  </si>
  <si>
    <t>P=107</t>
  </si>
  <si>
    <t>F = 20</t>
  </si>
  <si>
    <t>&gt;7</t>
  </si>
  <si>
    <t>6--7</t>
  </si>
  <si>
    <t>&lt;6</t>
  </si>
  <si>
    <t>male</t>
  </si>
  <si>
    <t>Result Analysis – Admission Quota (11/12)</t>
  </si>
  <si>
    <r>
      <rPr>
        <rFont val="Times New Roman"/>
        <b/>
        <color theme="1"/>
        <sz val="14.0"/>
      </rPr>
      <t xml:space="preserve"> </t>
    </r>
    <r>
      <rPr>
        <rFont val="Times New Roman"/>
        <b/>
        <color theme="1"/>
        <sz val="14.0"/>
        <u/>
      </rPr>
      <t>Sem:</t>
    </r>
    <r>
      <rPr>
        <rFont val="Times New Roman"/>
        <b/>
        <color theme="1"/>
        <sz val="14.0"/>
      </rPr>
      <t xml:space="preserve"> 3                            </t>
    </r>
    <r>
      <rPr>
        <rFont val="Times New Roman"/>
        <b/>
        <color theme="1"/>
        <sz val="14.0"/>
        <u/>
      </rPr>
      <t>Batch</t>
    </r>
    <r>
      <rPr>
        <rFont val="Times New Roman"/>
        <b/>
        <color theme="1"/>
        <sz val="14.0"/>
      </rPr>
      <t xml:space="preserve">: 2003-2007                                 </t>
    </r>
    <r>
      <rPr>
        <rFont val="Times New Roman"/>
        <b/>
        <color theme="1"/>
        <sz val="14.0"/>
        <u/>
      </rPr>
      <t>Exam</t>
    </r>
    <r>
      <rPr>
        <rFont val="Times New Roman"/>
        <b/>
        <color theme="1"/>
        <sz val="14.0"/>
      </rPr>
      <t xml:space="preserve">:Jan 2005 </t>
    </r>
  </si>
  <si>
    <t>COMED K</t>
  </si>
  <si>
    <t>Management</t>
  </si>
  <si>
    <t>Result Analysis – NBA - SAR (12/12)</t>
  </si>
  <si>
    <t>Sem: 3</t>
  </si>
  <si>
    <t xml:space="preserve">  Batch: 2003-2007</t>
  </si>
  <si>
    <t>Exam: Jan 2005</t>
  </si>
  <si>
    <r>
      <rPr>
        <rFont val="Times New Roman"/>
        <b/>
        <color theme="1"/>
        <sz val="14.0"/>
      </rPr>
      <t xml:space="preserve">     </t>
    </r>
    <r>
      <rPr>
        <rFont val="Times New Roman"/>
        <b/>
        <color theme="1"/>
        <sz val="14.0"/>
      </rPr>
      <t xml:space="preserve">                        </t>
    </r>
    <r>
      <rPr>
        <rFont val="Times New Roman"/>
        <b/>
        <color theme="1"/>
        <sz val="14.0"/>
      </rPr>
      <t xml:space="preserve">                                </t>
    </r>
  </si>
  <si>
    <t>Particulars</t>
  </si>
  <si>
    <t>Addmision Details N=(N1+N2+N3)</t>
  </si>
  <si>
    <t xml:space="preserve">I Year </t>
  </si>
  <si>
    <t>II Year</t>
  </si>
  <si>
    <t>III Year</t>
  </si>
  <si>
    <t>IV Year</t>
  </si>
  <si>
    <t>188+16</t>
  </si>
  <si>
    <t>No of students without backlogs (A)</t>
  </si>
  <si>
    <t>No of students with backlogs (B)</t>
  </si>
  <si>
    <t>SI for without backlogs(A/N)</t>
  </si>
  <si>
    <t>SI for with backlogs  (B/N)</t>
  </si>
  <si>
    <t>API = X * (Y/Z)</t>
  </si>
  <si>
    <t xml:space="preserve">Note: </t>
  </si>
  <si>
    <t>Mean of CGPA or Mean Percentage of all successful students (X)</t>
  </si>
  <si>
    <t>Total no. of successful students  (Y)</t>
  </si>
  <si>
    <t>Total no. of students appeared in the examination (Z)</t>
  </si>
  <si>
    <t>Total number of students admitted in first year minus number of students migrated to other programs/institutions, plus no. of students migrated to this program (N1)</t>
  </si>
  <si>
    <t>Number of students admitted in 2nd year in the same batch via lateral entry (N2)</t>
  </si>
  <si>
    <t>Separate division students, if applicable (N3)</t>
  </si>
  <si>
    <t>N = (N1+N2+N3)</t>
  </si>
  <si>
    <t>This format to be filled after every even semester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</si>
</sst>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 ;_ * \-#,##0.00_ ;_ * &quot;-&quot;??_ ;_ @_ "/>
    <numFmt numFmtId="165" formatCode="0.0"/>
  </numFmts>
  <fonts count="53">
    <font>
      <sz val="11.0"/>
      <color theme="1"/>
      <name val="Aptos narrow"/>
      <scheme val="minor"/>
    </font>
    <font>
      <sz val="9.0"/>
      <color theme="1"/>
      <name val="Times New Roman"/>
    </font>
    <font>
      <b/>
      <sz val="14.0"/>
      <color theme="1"/>
      <name val="Times New Roman"/>
    </font>
    <font>
      <b/>
      <sz val="10.0"/>
      <color theme="1"/>
      <name val="Times New Roman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b/>
      <sz val="11.0"/>
      <color rgb="FFFFFFFF"/>
      <name val="Verdana"/>
    </font>
    <font>
      <sz val="11.0"/>
      <color theme="1"/>
      <name val="Aptos narrow"/>
    </font>
    <font>
      <sz val="8.0"/>
      <color rgb="FF000000"/>
      <name val="Verdana"/>
    </font>
    <font>
      <sz val="8.0"/>
      <color rgb="FF000000"/>
      <name val="Times New Roman"/>
    </font>
    <font>
      <sz val="8.0"/>
      <color theme="1"/>
      <name val="Times New Roman"/>
    </font>
    <font>
      <b/>
      <sz val="13.0"/>
      <color theme="1"/>
      <name val="Times New Roman"/>
    </font>
    <font>
      <sz val="11.0"/>
      <color theme="1"/>
      <name val="Times New Roman"/>
    </font>
    <font>
      <b/>
      <sz val="10.0"/>
      <color rgb="FF333333"/>
      <name val="Times New Roman"/>
    </font>
    <font>
      <b/>
      <sz val="10.0"/>
      <color rgb="FF000000"/>
      <name val="Times New Roman"/>
    </font>
    <font>
      <b/>
      <sz val="9.0"/>
      <color rgb="FF000000"/>
      <name val="Times New Roman"/>
    </font>
    <font>
      <b/>
      <sz val="9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sz val="10.0"/>
      <color rgb="FF333333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1.0"/>
      <color rgb="FF000000"/>
      <name val="Times New Roman"/>
    </font>
    <font>
      <b/>
      <sz val="8.0"/>
      <color theme="1"/>
      <name val="Times New Roman"/>
    </font>
    <font>
      <sz val="12.0"/>
      <color rgb="FF000000"/>
      <name val="Cambria"/>
    </font>
    <font>
      <sz val="13.0"/>
      <color theme="1"/>
      <name val="Aptos Narrow"/>
    </font>
    <font>
      <b/>
      <u/>
      <sz val="14.0"/>
      <color theme="1"/>
      <name val="Times New Roman"/>
    </font>
    <font>
      <b/>
      <sz val="12.0"/>
      <color rgb="FF000000"/>
      <name val="Times New Roman"/>
    </font>
    <font/>
    <font>
      <sz val="13.0"/>
      <color rgb="FF000000"/>
      <name val="Times New Roman"/>
    </font>
    <font>
      <b/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Times New Roman"/>
    </font>
    <font>
      <sz val="11.0"/>
      <color theme="1"/>
      <name val="Aptos Narrow"/>
    </font>
    <font>
      <b/>
      <sz val="11.0"/>
      <color rgb="FF000000"/>
      <name val="Cambria"/>
    </font>
    <font>
      <sz val="11.0"/>
      <color theme="1"/>
      <name val="Calibri"/>
    </font>
    <font>
      <b/>
      <sz val="12.0"/>
      <color rgb="FF000000"/>
      <name val="Cambria"/>
    </font>
    <font>
      <b/>
      <sz val="10.0"/>
      <color rgb="FF000000"/>
      <name val="Cambria"/>
    </font>
    <font>
      <sz val="12.0"/>
      <color theme="1"/>
      <name val="Merriweather"/>
    </font>
    <font>
      <sz val="12.0"/>
      <color theme="1"/>
      <name val="Aptos narrow"/>
    </font>
    <font>
      <b/>
      <sz val="11.0"/>
      <color rgb="FF000000"/>
      <name val="Times New Roman"/>
    </font>
    <font>
      <sz val="14.0"/>
      <color theme="1"/>
      <name val="Times New Roman"/>
    </font>
    <font>
      <sz val="14.0"/>
      <color theme="1"/>
      <name val="Aptos Narrow"/>
    </font>
    <font>
      <b/>
      <sz val="9.0"/>
      <color rgb="FF333333"/>
      <name val="Times New Roman"/>
    </font>
    <font>
      <sz val="10.0"/>
      <color theme="1"/>
      <name val="Calibri"/>
    </font>
    <font>
      <sz val="11.0"/>
      <color rgb="FF000000"/>
      <name val="Calibri"/>
    </font>
    <font>
      <sz val="9.0"/>
      <color rgb="FF000000"/>
      <name val="Times New Roman"/>
    </font>
    <font>
      <sz val="9.0"/>
      <color theme="1"/>
      <name val="Calibri"/>
    </font>
    <font>
      <sz val="10.0"/>
      <color theme="1"/>
      <name val="Aptos narrow"/>
    </font>
    <font>
      <b/>
      <sz val="11.0"/>
      <color theme="1"/>
      <name val="Aptos Narrow"/>
    </font>
    <font>
      <color theme="1"/>
      <name val="Arial"/>
    </font>
    <font>
      <sz val="12.0"/>
      <color rgb="FF333333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298A08"/>
        <bgColor rgb="FF298A0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/>
    </xf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1" fillId="3" fontId="8" numFmtId="0" xfId="0" applyAlignment="1" applyBorder="1" applyFill="1" applyFont="1">
      <alignment horizontal="center"/>
    </xf>
    <xf borderId="1" fillId="3" fontId="8" numFmtId="0" xfId="0" applyAlignment="1" applyBorder="1" applyFont="1">
      <alignment horizontal="center" readingOrder="0"/>
    </xf>
    <xf borderId="1" fillId="3" fontId="9" numFmtId="0" xfId="0" applyAlignment="1" applyBorder="1" applyFont="1">
      <alignment readingOrder="0"/>
    </xf>
    <xf borderId="1" fillId="3" fontId="9" numFmtId="0" xfId="0" applyBorder="1" applyFont="1"/>
    <xf borderId="1" fillId="3" fontId="10" numFmtId="0" xfId="0" applyBorder="1" applyFont="1"/>
    <xf borderId="1" fillId="3" fontId="9" numFmtId="0" xfId="0" applyAlignment="1" applyBorder="1" applyFont="1">
      <alignment horizontal="left"/>
    </xf>
    <xf borderId="1" fillId="4" fontId="10" numFmtId="0" xfId="0" applyBorder="1" applyFill="1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Font="1"/>
    <xf borderId="0" fillId="0" fontId="2" numFmtId="0" xfId="0" applyAlignment="1" applyFont="1">
      <alignment horizontal="center" readingOrder="0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2" xfId="0" applyAlignment="1" applyFont="1" applyNumberFormat="1">
      <alignment horizontal="center" shrinkToFit="0" vertical="center" wrapText="1"/>
    </xf>
    <xf borderId="0" fillId="0" fontId="16" numFmtId="2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1" fillId="5" fontId="3" numFmtId="0" xfId="0" applyAlignment="1" applyBorder="1" applyFill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left" readingOrder="0" shrinkToFit="0" wrapText="1"/>
    </xf>
    <xf borderId="1" fillId="5" fontId="14" numFmtId="0" xfId="0" applyAlignment="1" applyBorder="1" applyFont="1">
      <alignment horizontal="center" shrinkToFit="0" vertical="center" wrapText="1"/>
    </xf>
    <xf borderId="1" fillId="5" fontId="14" numFmtId="2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1" fillId="5" fontId="3" numFmtId="2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/>
    </xf>
    <xf borderId="1" fillId="0" fontId="18" numFmtId="0" xfId="0" applyAlignment="1" applyBorder="1" applyFont="1">
      <alignment readingOrder="0" shrinkToFit="0" wrapText="1"/>
    </xf>
    <xf borderId="2" fillId="4" fontId="12" numFmtId="0" xfId="0" applyBorder="1" applyFont="1"/>
    <xf borderId="1" fillId="0" fontId="17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vertical="center"/>
    </xf>
    <xf borderId="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shrinkToFit="0" vertical="center" wrapText="1"/>
    </xf>
    <xf borderId="2" fillId="5" fontId="17" numFmtId="0" xfId="0" applyAlignment="1" applyBorder="1" applyFont="1">
      <alignment horizontal="center" shrinkToFit="0" vertical="center" wrapText="1"/>
    </xf>
    <xf borderId="2" fillId="5" fontId="19" numFmtId="0" xfId="0" applyAlignment="1" applyBorder="1" applyFont="1">
      <alignment vertical="center"/>
    </xf>
    <xf borderId="2" fillId="5" fontId="19" numFmtId="0" xfId="0" applyAlignment="1" applyBorder="1" applyFont="1">
      <alignment horizontal="center" shrinkToFit="0" vertical="center" wrapText="1"/>
    </xf>
    <xf borderId="2" fillId="5" fontId="17" numFmtId="0" xfId="0" applyAlignment="1" applyBorder="1" applyFont="1">
      <alignment shrinkToFit="0" vertical="center" wrapText="1"/>
    </xf>
    <xf borderId="2" fillId="5" fontId="18" numFmtId="0" xfId="0" applyAlignment="1" applyBorder="1" applyFont="1">
      <alignment horizontal="center" shrinkToFit="0" vertical="center" wrapText="1"/>
    </xf>
    <xf borderId="2" fillId="5" fontId="18" numFmtId="2" xfId="0" applyAlignment="1" applyBorder="1" applyFont="1" applyNumberFormat="1">
      <alignment horizontal="center" shrinkToFit="0" vertical="center" wrapText="1"/>
    </xf>
    <xf borderId="2" fillId="5" fontId="17" numFmtId="0" xfId="0" applyAlignment="1" applyBorder="1" applyFont="1">
      <alignment horizontal="center" vertical="center"/>
    </xf>
    <xf borderId="2" fillId="5" fontId="17" numFmtId="2" xfId="0" applyAlignment="1" applyBorder="1" applyFont="1" applyNumberFormat="1">
      <alignment horizontal="center" vertical="center"/>
    </xf>
    <xf borderId="2" fillId="5" fontId="17" numFmtId="0" xfId="0" applyAlignment="1" applyBorder="1" applyFont="1">
      <alignment horizontal="center"/>
    </xf>
    <xf borderId="0" fillId="0" fontId="20" numFmtId="0" xfId="0" applyFont="1"/>
    <xf borderId="0" fillId="0" fontId="21" numFmtId="0" xfId="0" applyAlignment="1" applyFont="1">
      <alignment horizontal="left" readingOrder="0" vertical="center"/>
    </xf>
    <xf borderId="0" fillId="0" fontId="21" numFmtId="0" xfId="0" applyAlignment="1" applyFont="1">
      <alignment horizontal="left" vertical="center"/>
    </xf>
    <xf borderId="3" fillId="5" fontId="16" numFmtId="0" xfId="0" applyAlignment="1" applyBorder="1" applyFont="1">
      <alignment shrinkToFit="0" vertical="center" wrapText="1"/>
    </xf>
    <xf borderId="4" fillId="5" fontId="16" numFmtId="0" xfId="0" applyAlignment="1" applyBorder="1" applyFont="1">
      <alignment horizontal="center" shrinkToFit="0" vertical="center" wrapText="1"/>
    </xf>
    <xf borderId="5" fillId="5" fontId="16" numFmtId="0" xfId="0" applyAlignment="1" applyBorder="1" applyFont="1">
      <alignment horizontal="center" shrinkToFit="0" vertical="center" wrapText="1"/>
    </xf>
    <xf borderId="6" fillId="5" fontId="16" numFmtId="0" xfId="0" applyAlignment="1" applyBorder="1" applyFont="1">
      <alignment horizontal="center" shrinkToFit="0" vertical="center" wrapText="1"/>
    </xf>
    <xf borderId="6" fillId="5" fontId="3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left" readingOrder="0" shrinkToFit="0" wrapText="1"/>
    </xf>
    <xf borderId="1" fillId="5" fontId="16" numFmtId="0" xfId="0" applyAlignment="1" applyBorder="1" applyFont="1">
      <alignment horizontal="center" shrinkToFit="0" vertical="center" wrapText="1"/>
    </xf>
    <xf borderId="1" fillId="5" fontId="16" numFmtId="2" xfId="0" applyAlignment="1" applyBorder="1" applyFont="1" applyNumberFormat="1">
      <alignment horizontal="center" shrinkToFit="0" vertical="center" wrapText="1"/>
    </xf>
    <xf borderId="1" fillId="5" fontId="16" numFmtId="0" xfId="0" applyAlignment="1" applyBorder="1" applyFont="1">
      <alignment horizontal="center" vertical="center"/>
    </xf>
    <xf borderId="1" fillId="5" fontId="16" numFmtId="2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top"/>
    </xf>
    <xf borderId="8" fillId="5" fontId="3" numFmtId="0" xfId="0" applyAlignment="1" applyBorder="1" applyFont="1">
      <alignment shrinkToFit="0" vertical="center" wrapText="1"/>
    </xf>
    <xf borderId="9" fillId="5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vertical="center"/>
    </xf>
    <xf borderId="10" fillId="5" fontId="3" numFmtId="0" xfId="0" applyAlignment="1" applyBorder="1" applyFont="1">
      <alignment horizontal="center" shrinkToFit="0" vertical="center" wrapText="1"/>
    </xf>
    <xf borderId="11" fillId="5" fontId="3" numFmtId="0" xfId="0" applyAlignment="1" applyBorder="1" applyFont="1">
      <alignment horizontal="center" shrinkToFit="0" vertical="center" wrapText="1"/>
    </xf>
    <xf borderId="11" fillId="5" fontId="3" numFmtId="0" xfId="0" applyAlignment="1" applyBorder="1" applyFont="1">
      <alignment horizontal="center" shrinkToFit="0" wrapText="1"/>
    </xf>
    <xf borderId="12" fillId="5" fontId="3" numFmtId="0" xfId="0" applyAlignment="1" applyBorder="1" applyFont="1">
      <alignment horizontal="center" shrinkToFit="0" wrapText="1"/>
    </xf>
    <xf borderId="13" fillId="5" fontId="3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left" readingOrder="0" vertical="center"/>
    </xf>
    <xf borderId="14" fillId="3" fontId="14" numFmtId="1" xfId="0" applyAlignment="1" applyBorder="1" applyFont="1" applyNumberFormat="1">
      <alignment horizontal="center" shrinkToFit="1" vertical="top" wrapText="0"/>
    </xf>
    <xf borderId="15" fillId="3" fontId="14" numFmtId="1" xfId="0" applyAlignment="1" applyBorder="1" applyFont="1" applyNumberFormat="1">
      <alignment horizontal="center" shrinkToFit="1" vertical="top" wrapText="0"/>
    </xf>
    <xf borderId="1" fillId="3" fontId="15" numFmtId="2" xfId="0" applyAlignment="1" applyBorder="1" applyFont="1" applyNumberFormat="1">
      <alignment horizontal="center" shrinkToFit="1" vertical="top" wrapText="0"/>
    </xf>
    <xf borderId="1" fillId="3" fontId="15" numFmtId="1" xfId="0" applyAlignment="1" applyBorder="1" applyFont="1" applyNumberFormat="1">
      <alignment horizontal="center" shrinkToFit="1" vertical="top" wrapText="0"/>
    </xf>
    <xf borderId="15" fillId="3" fontId="3" numFmtId="2" xfId="0" applyAlignment="1" applyBorder="1" applyFont="1" applyNumberFormat="1">
      <alignment horizontal="center" vertical="center"/>
    </xf>
    <xf borderId="15" fillId="3" fontId="3" numFmtId="0" xfId="0" applyAlignment="1" applyBorder="1" applyFont="1">
      <alignment horizontal="center"/>
    </xf>
    <xf borderId="16" fillId="5" fontId="3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left" readingOrder="0" shrinkToFit="0" vertical="center" wrapText="1"/>
    </xf>
    <xf borderId="1" fillId="3" fontId="14" numFmtId="1" xfId="0" applyAlignment="1" applyBorder="1" applyFont="1" applyNumberFormat="1">
      <alignment horizontal="center" shrinkToFit="1" vertical="top" wrapText="0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vertical="top"/>
    </xf>
    <xf borderId="1" fillId="5" fontId="12" numFmtId="0" xfId="0" applyBorder="1" applyFont="1"/>
    <xf borderId="16" fillId="5" fontId="24" numFmtId="0" xfId="0" applyAlignment="1" applyBorder="1" applyFont="1">
      <alignment horizontal="center" shrinkToFit="0" vertical="top" wrapText="1"/>
    </xf>
    <xf borderId="1" fillId="5" fontId="14" numFmtId="1" xfId="0" applyAlignment="1" applyBorder="1" applyFont="1" applyNumberFormat="1">
      <alignment horizontal="center" shrinkToFit="1" vertical="top" wrapText="0"/>
    </xf>
    <xf borderId="1" fillId="5" fontId="15" numFmtId="1" xfId="0" applyAlignment="1" applyBorder="1" applyFont="1" applyNumberFormat="1">
      <alignment horizontal="center" shrinkToFit="1" vertical="top" wrapText="0"/>
    </xf>
    <xf borderId="15" fillId="5" fontId="3" numFmtId="2" xfId="0" applyAlignment="1" applyBorder="1" applyFont="1" applyNumberFormat="1">
      <alignment horizontal="center" vertical="center"/>
    </xf>
    <xf borderId="1" fillId="5" fontId="14" numFmtId="0" xfId="0" applyAlignment="1" applyBorder="1" applyFont="1">
      <alignment horizontal="left" shrinkToFit="0" vertical="top" wrapText="1"/>
    </xf>
    <xf borderId="1" fillId="5" fontId="15" numFmtId="2" xfId="0" applyAlignment="1" applyBorder="1" applyFont="1" applyNumberFormat="1">
      <alignment horizontal="center" shrinkToFit="1" vertical="top" wrapText="0"/>
    </xf>
    <xf borderId="0" fillId="0" fontId="25" numFmtId="0" xfId="0" applyFont="1"/>
    <xf borderId="0" fillId="0" fontId="21" numFmtId="0" xfId="0" applyAlignment="1" applyFont="1">
      <alignment vertical="center"/>
    </xf>
    <xf borderId="0" fillId="0" fontId="26" numFmtId="0" xfId="0" applyFont="1"/>
    <xf borderId="0" fillId="0" fontId="2" numFmtId="0" xfId="0" applyAlignment="1" applyFont="1">
      <alignment vertical="center"/>
    </xf>
    <xf borderId="0" fillId="0" fontId="27" numFmtId="0" xfId="0" applyAlignment="1" applyFont="1">
      <alignment vertical="center"/>
    </xf>
    <xf borderId="17" fillId="0" fontId="28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vertical="center"/>
    </xf>
    <xf borderId="18" fillId="0" fontId="28" numFmtId="0" xfId="0" applyAlignment="1" applyBorder="1" applyFont="1">
      <alignment horizontal="center" vertical="center"/>
    </xf>
    <xf borderId="19" fillId="0" fontId="29" numFmtId="0" xfId="0" applyBorder="1" applyFont="1"/>
    <xf borderId="1" fillId="0" fontId="28" numFmtId="0" xfId="0" applyAlignment="1" applyBorder="1" applyFont="1">
      <alignment horizontal="center" shrinkToFit="0" vertical="center" wrapText="1"/>
    </xf>
    <xf borderId="20" fillId="0" fontId="29" numFmtId="0" xfId="0" applyBorder="1" applyFont="1"/>
    <xf borderId="1" fillId="0" fontId="28" numFmtId="1" xfId="0" applyAlignment="1" applyBorder="1" applyFont="1" applyNumberFormat="1">
      <alignment horizontal="center" shrinkToFit="0" vertical="center" wrapText="1"/>
    </xf>
    <xf borderId="1" fillId="0" fontId="22" numFmtId="0" xfId="0" applyAlignment="1" applyBorder="1" applyFont="1">
      <alignment horizontal="center" vertical="center"/>
    </xf>
    <xf borderId="1" fillId="0" fontId="22" numFmtId="9" xfId="0" applyAlignment="1" applyBorder="1" applyFont="1" applyNumberFormat="1">
      <alignment horizontal="center"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22" numFmtId="10" xfId="0" applyAlignment="1" applyBorder="1" applyFont="1" applyNumberFormat="1">
      <alignment horizontal="center" vertical="center"/>
    </xf>
    <xf borderId="0" fillId="0" fontId="30" numFmtId="0" xfId="0" applyAlignment="1" applyFont="1">
      <alignment horizontal="center" vertical="center"/>
    </xf>
    <xf borderId="1" fillId="0" fontId="31" numFmtId="0" xfId="0" applyAlignment="1" applyBorder="1" applyFont="1">
      <alignment horizontal="center" vertical="center"/>
    </xf>
    <xf borderId="1" fillId="0" fontId="28" numFmtId="10" xfId="0" applyAlignment="1" applyBorder="1" applyFont="1" applyNumberFormat="1">
      <alignment horizontal="center" vertical="center"/>
    </xf>
    <xf borderId="20" fillId="0" fontId="31" numFmtId="0" xfId="0" applyAlignment="1" applyBorder="1" applyFont="1">
      <alignment horizontal="center" vertical="center"/>
    </xf>
    <xf borderId="20" fillId="0" fontId="31" numFmtId="2" xfId="0" applyAlignment="1" applyBorder="1" applyFont="1" applyNumberFormat="1">
      <alignment horizontal="center" vertical="center"/>
    </xf>
    <xf borderId="1" fillId="0" fontId="31" numFmtId="2" xfId="0" applyAlignment="1" applyBorder="1" applyFont="1" applyNumberFormat="1">
      <alignment horizontal="center" vertical="center"/>
    </xf>
    <xf borderId="21" fillId="0" fontId="22" numFmtId="0" xfId="0" applyAlignment="1" applyBorder="1" applyFont="1">
      <alignment horizontal="center" vertical="center"/>
    </xf>
    <xf borderId="22" fillId="0" fontId="22" numFmtId="0" xfId="0" applyAlignment="1" applyBorder="1" applyFont="1">
      <alignment horizontal="center" vertical="center"/>
    </xf>
    <xf borderId="22" fillId="0" fontId="22" numFmtId="9" xfId="0" applyAlignment="1" applyBorder="1" applyFont="1" applyNumberFormat="1">
      <alignment horizontal="center" vertical="center"/>
    </xf>
    <xf borderId="22" fillId="0" fontId="22" numFmtId="0" xfId="0" applyAlignment="1" applyBorder="1" applyFont="1">
      <alignment horizontal="center" shrinkToFit="0" vertical="center" wrapText="1"/>
    </xf>
    <xf borderId="1" fillId="0" fontId="14" numFmtId="1" xfId="0" applyAlignment="1" applyBorder="1" applyFont="1" applyNumberFormat="1">
      <alignment horizontal="center" shrinkToFit="1" vertical="top" wrapText="0"/>
    </xf>
    <xf borderId="23" fillId="0" fontId="28" numFmtId="0" xfId="0" applyAlignment="1" applyBorder="1" applyFont="1">
      <alignment horizontal="center" vertical="center"/>
    </xf>
    <xf borderId="24" fillId="0" fontId="28" numFmtId="0" xfId="0" applyAlignment="1" applyBorder="1" applyFont="1">
      <alignment horizontal="center" vertical="center"/>
    </xf>
    <xf borderId="25" fillId="0" fontId="28" numFmtId="0" xfId="0" applyAlignment="1" applyBorder="1" applyFont="1">
      <alignment horizontal="center" vertical="center"/>
    </xf>
    <xf borderId="26" fillId="0" fontId="29" numFmtId="0" xfId="0" applyBorder="1" applyFont="1"/>
    <xf borderId="27" fillId="0" fontId="29" numFmtId="0" xfId="0" applyBorder="1" applyFont="1"/>
    <xf borderId="25" fillId="0" fontId="28" numFmtId="0" xfId="0" applyAlignment="1" applyBorder="1" applyFont="1">
      <alignment horizontal="center" shrinkToFit="0" vertical="center" wrapText="1"/>
    </xf>
    <xf borderId="21" fillId="0" fontId="29" numFmtId="0" xfId="0" applyBorder="1" applyFont="1"/>
    <xf borderId="28" fillId="0" fontId="28" numFmtId="0" xfId="0" applyAlignment="1" applyBorder="1" applyFont="1">
      <alignment horizontal="center" vertical="center"/>
    </xf>
    <xf borderId="22" fillId="0" fontId="28" numFmtId="0" xfId="0" applyAlignment="1" applyBorder="1" applyFont="1">
      <alignment horizontal="center" vertical="center"/>
    </xf>
    <xf borderId="0" fillId="0" fontId="28" numFmtId="0" xfId="0" applyAlignment="1" applyFont="1">
      <alignment horizontal="center" vertical="center"/>
    </xf>
    <xf borderId="29" fillId="0" fontId="22" numFmtId="0" xfId="0" applyAlignment="1" applyBorder="1" applyFont="1">
      <alignment horizontal="center" vertical="center"/>
    </xf>
    <xf borderId="8" fillId="0" fontId="22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22" fillId="0" fontId="20" numFmtId="0" xfId="0" applyAlignment="1" applyBorder="1" applyFont="1">
      <alignment horizontal="center" vertical="center"/>
    </xf>
    <xf borderId="22" fillId="0" fontId="20" numFmtId="9" xfId="0" applyAlignment="1" applyBorder="1" applyFont="1" applyNumberFormat="1">
      <alignment horizontal="center" vertical="center"/>
    </xf>
    <xf borderId="22" fillId="0" fontId="20" numFmtId="0" xfId="0" applyAlignment="1" applyBorder="1" applyFont="1">
      <alignment horizontal="center" shrinkToFit="0" vertical="center" wrapText="1"/>
    </xf>
    <xf borderId="0" fillId="0" fontId="32" numFmtId="0" xfId="0" applyFont="1"/>
    <xf borderId="22" fillId="0" fontId="22" numFmtId="2" xfId="0" applyAlignment="1" applyBorder="1" applyFont="1" applyNumberFormat="1">
      <alignment horizontal="center" shrinkToFit="0" vertical="center" wrapText="1"/>
    </xf>
    <xf borderId="22" fillId="0" fontId="22" numFmtId="0" xfId="0" applyAlignment="1" applyBorder="1" applyFont="1">
      <alignment horizontal="center" shrinkToFit="0" wrapText="1"/>
    </xf>
    <xf borderId="22" fillId="0" fontId="22" numFmtId="2" xfId="0" applyAlignment="1" applyBorder="1" applyFont="1" applyNumberFormat="1">
      <alignment horizontal="center" shrinkToFit="0" wrapText="1"/>
    </xf>
    <xf borderId="22" fillId="0" fontId="22" numFmtId="10" xfId="0" applyAlignment="1" applyBorder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1" fillId="0" fontId="3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8" numFmtId="0" xfId="0" applyAlignment="1" applyFont="1">
      <alignment horizontal="center" shrinkToFit="0" vertical="center" wrapText="1"/>
    </xf>
    <xf borderId="0" fillId="0" fontId="28" numFmtId="1" xfId="0" applyAlignment="1" applyFont="1" applyNumberFormat="1">
      <alignment horizontal="center" shrinkToFit="0" vertical="center" wrapText="1"/>
    </xf>
    <xf borderId="0" fillId="0" fontId="34" numFmtId="0" xfId="0" applyFont="1"/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center" shrinkToFit="0" vertical="center" wrapText="1"/>
    </xf>
    <xf borderId="1" fillId="0" fontId="7" numFmtId="0" xfId="0" applyBorder="1" applyFont="1"/>
    <xf borderId="1" fillId="6" fontId="28" numFmtId="0" xfId="0" applyAlignment="1" applyBorder="1" applyFill="1" applyFont="1">
      <alignment shrinkToFit="0" vertical="center" wrapText="1"/>
    </xf>
    <xf borderId="1" fillId="6" fontId="20" numFmtId="2" xfId="0" applyAlignment="1" applyBorder="1" applyFont="1" applyNumberFormat="1">
      <alignment horizontal="center" shrinkToFit="0" vertical="center" wrapText="1"/>
    </xf>
    <xf borderId="1" fillId="6" fontId="22" numFmtId="2" xfId="0" applyAlignment="1" applyBorder="1" applyFont="1" applyNumberFormat="1">
      <alignment horizontal="center" shrinkToFit="0" vertical="center" wrapText="1"/>
    </xf>
    <xf borderId="1" fillId="0" fontId="28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horizontal="center" shrinkToFit="0" vertical="center" wrapText="1"/>
    </xf>
    <xf borderId="25" fillId="0" fontId="28" numFmtId="0" xfId="0" applyAlignment="1" applyBorder="1" applyFont="1">
      <alignment horizontal="center" readingOrder="0" shrinkToFit="0" vertical="center" wrapText="1"/>
    </xf>
    <xf borderId="21" fillId="0" fontId="22" numFmtId="0" xfId="0" applyAlignment="1" applyBorder="1" applyFont="1">
      <alignment horizontal="center" shrinkToFit="0" vertical="center" wrapText="1"/>
    </xf>
    <xf borderId="30" fillId="6" fontId="14" numFmtId="0" xfId="0" applyAlignment="1" applyBorder="1" applyFont="1">
      <alignment shrinkToFit="0" vertical="center" wrapText="1"/>
    </xf>
    <xf borderId="31" fillId="6" fontId="22" numFmtId="0" xfId="0" applyAlignment="1" applyBorder="1" applyFont="1">
      <alignment horizontal="center" shrinkToFit="0" vertical="center" wrapText="1"/>
    </xf>
    <xf borderId="8" fillId="6" fontId="20" numFmtId="2" xfId="0" applyAlignment="1" applyBorder="1" applyFont="1" applyNumberFormat="1">
      <alignment horizontal="center" shrinkToFit="0" vertical="center" wrapText="1"/>
    </xf>
    <xf borderId="32" fillId="6" fontId="22" numFmtId="0" xfId="0" applyAlignment="1" applyBorder="1" applyFont="1">
      <alignment horizontal="center" shrinkToFit="0" vertical="center" wrapText="1"/>
    </xf>
    <xf borderId="32" fillId="6" fontId="22" numFmtId="2" xfId="0" applyAlignment="1" applyBorder="1" applyFont="1" applyNumberFormat="1">
      <alignment horizontal="center" shrinkToFit="0" vertical="center" wrapText="1"/>
    </xf>
    <xf borderId="21" fillId="0" fontId="28" numFmtId="0" xfId="0" applyAlignment="1" applyBorder="1" applyFont="1">
      <alignment shrinkToFit="0" vertical="center" wrapText="1"/>
    </xf>
    <xf borderId="33" fillId="0" fontId="23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horizontal="center" shrinkToFit="0" vertical="center" wrapText="1"/>
    </xf>
    <xf borderId="28" fillId="0" fontId="23" numFmtId="0" xfId="0" applyAlignment="1" applyBorder="1" applyFont="1">
      <alignment horizontal="center" shrinkToFit="0" vertical="center" wrapText="1"/>
    </xf>
    <xf borderId="34" fillId="6" fontId="22" numFmtId="2" xfId="0" applyAlignment="1" applyBorder="1" applyFont="1" applyNumberFormat="1">
      <alignment horizontal="center" shrinkToFit="0" vertical="center" wrapText="1"/>
    </xf>
    <xf borderId="31" fillId="6" fontId="22" numFmtId="2" xfId="0" applyAlignment="1" applyBorder="1" applyFont="1" applyNumberFormat="1">
      <alignment horizontal="center" shrinkToFit="0" vertical="center" wrapText="1"/>
    </xf>
    <xf borderId="8" fillId="0" fontId="23" numFmtId="0" xfId="0" applyAlignment="1" applyBorder="1" applyFont="1">
      <alignment horizontal="center" shrinkToFit="0" vertical="center" wrapText="1"/>
    </xf>
    <xf borderId="9" fillId="6" fontId="22" numFmtId="2" xfId="0" applyAlignment="1" applyBorder="1" applyFont="1" applyNumberFormat="1">
      <alignment horizontal="center" shrinkToFit="0" vertical="center" wrapText="1"/>
    </xf>
    <xf borderId="26" fillId="0" fontId="23" numFmtId="0" xfId="0" applyAlignment="1" applyBorder="1" applyFont="1">
      <alignment horizontal="center" shrinkToFit="0" vertical="center" wrapText="1"/>
    </xf>
    <xf borderId="35" fillId="0" fontId="23" numFmtId="0" xfId="0" applyAlignment="1" applyBorder="1" applyFont="1">
      <alignment horizontal="center" shrinkToFit="0" vertical="center" wrapText="1"/>
    </xf>
    <xf borderId="11" fillId="6" fontId="22" numFmtId="2" xfId="0" applyAlignment="1" applyBorder="1" applyFont="1" applyNumberFormat="1">
      <alignment horizontal="center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12" fillId="6" fontId="22" numFmtId="2" xfId="0" applyAlignment="1" applyBorder="1" applyFont="1" applyNumberFormat="1">
      <alignment horizontal="center" shrinkToFit="0" vertical="center" wrapText="1"/>
    </xf>
    <xf borderId="0" fillId="0" fontId="28" numFmtId="0" xfId="0" applyAlignment="1" applyFont="1">
      <alignment vertical="center"/>
    </xf>
    <xf borderId="0" fillId="0" fontId="35" numFmtId="0" xfId="0" applyAlignment="1" applyFont="1">
      <alignment horizontal="center" shrinkToFit="0" vertical="center" wrapText="1"/>
    </xf>
    <xf borderId="0" fillId="0" fontId="36" numFmtId="0" xfId="0" applyAlignment="1" applyFont="1">
      <alignment shrinkToFit="0" vertical="center" wrapText="1"/>
    </xf>
    <xf borderId="0" fillId="0" fontId="7" numFmtId="0" xfId="0" applyFont="1"/>
    <xf borderId="0" fillId="0" fontId="37" numFmtId="0" xfId="0" applyAlignment="1" applyFont="1">
      <alignment horizontal="center" shrinkToFit="0" vertical="center" wrapText="1"/>
    </xf>
    <xf borderId="2" fillId="6" fontId="38" numFmtId="0" xfId="0" applyAlignment="1" applyBorder="1" applyFont="1">
      <alignment horizontal="center" shrinkToFit="0" vertical="center" wrapText="1"/>
    </xf>
    <xf borderId="2" fillId="6" fontId="38" numFmtId="9" xfId="0" applyAlignment="1" applyBorder="1" applyFont="1" applyNumberFormat="1">
      <alignment horizontal="center" shrinkToFit="0" vertical="center" wrapText="1"/>
    </xf>
    <xf borderId="2" fillId="6" fontId="38" numFmtId="10" xfId="0" applyAlignment="1" applyBorder="1" applyFont="1" applyNumberForma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0" fillId="0" fontId="38" numFmtId="10" xfId="0" applyAlignment="1" applyFont="1" applyNumberFormat="1">
      <alignment horizontal="center" shrinkToFit="0" vertical="center" wrapText="1"/>
    </xf>
    <xf borderId="30" fillId="6" fontId="28" numFmtId="0" xfId="0" applyAlignment="1" applyBorder="1" applyFont="1">
      <alignment shrinkToFit="0" vertical="center" wrapText="1"/>
    </xf>
    <xf borderId="0" fillId="0" fontId="12" numFmtId="0" xfId="0" applyAlignment="1" applyFont="1">
      <alignment horizontal="center"/>
    </xf>
    <xf borderId="0" fillId="0" fontId="28" numFmtId="0" xfId="0" applyAlignment="1" applyFont="1">
      <alignment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readingOrder="0" vertical="center"/>
    </xf>
    <xf borderId="0" fillId="0" fontId="22" numFmtId="10" xfId="0" applyAlignment="1" applyFont="1" applyNumberFormat="1">
      <alignment horizontal="center" vertical="center"/>
    </xf>
    <xf borderId="17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12" numFmtId="0" xfId="0" applyAlignment="1" applyFont="1">
      <alignment horizontal="center" shrinkToFit="0" wrapText="1"/>
    </xf>
    <xf borderId="0" fillId="0" fontId="22" numFmtId="9" xfId="0" applyAlignment="1" applyFont="1" applyNumberFormat="1">
      <alignment horizontal="center" vertical="center"/>
    </xf>
    <xf borderId="1" fillId="0" fontId="39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/>
    </xf>
    <xf borderId="1" fillId="0" fontId="39" numFmtId="0" xfId="0" applyAlignment="1" applyBorder="1" applyFont="1">
      <alignment horizontal="left"/>
    </xf>
    <xf borderId="1" fillId="0" fontId="21" numFmtId="0" xfId="0" applyAlignment="1" applyBorder="1" applyFont="1">
      <alignment horizontal="center"/>
    </xf>
    <xf borderId="1" fillId="0" fontId="20" numFmtId="0" xfId="0" applyAlignment="1" applyBorder="1" applyFont="1">
      <alignment horizontal="center"/>
    </xf>
    <xf borderId="1" fillId="0" fontId="40" numFmtId="0" xfId="0" applyAlignment="1" applyBorder="1" applyFont="1">
      <alignment horizontal="center"/>
    </xf>
    <xf borderId="1" fillId="0" fontId="40" numFmtId="0" xfId="0" applyAlignment="1" applyBorder="1" applyFont="1">
      <alignment horizontal="left"/>
    </xf>
    <xf borderId="1" fillId="0" fontId="20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/>
    </xf>
    <xf borderId="1" fillId="0" fontId="23" numFmtId="0" xfId="0" applyAlignment="1" applyBorder="1" applyFont="1">
      <alignment horizontal="left"/>
    </xf>
    <xf borderId="1" fillId="0" fontId="41" numFmtId="0" xfId="0" applyAlignment="1" applyBorder="1" applyFont="1">
      <alignment horizontal="center"/>
    </xf>
    <xf borderId="0" fillId="0" fontId="42" numFmtId="0" xfId="0" applyFont="1"/>
    <xf borderId="17" fillId="0" fontId="21" numFmtId="0" xfId="0" applyAlignment="1" applyBorder="1" applyFont="1">
      <alignment horizontal="center" vertical="center"/>
    </xf>
    <xf borderId="17" fillId="0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shrinkToFit="0" vertical="center" wrapText="1"/>
    </xf>
    <xf borderId="36" fillId="0" fontId="29" numFmtId="0" xfId="0" applyBorder="1" applyFont="1"/>
    <xf borderId="37" fillId="0" fontId="21" numFmtId="0" xfId="0" applyAlignment="1" applyBorder="1" applyFont="1">
      <alignment horizontal="center" shrinkToFit="0" vertical="center" wrapText="1"/>
    </xf>
    <xf borderId="38" fillId="0" fontId="29" numFmtId="0" xfId="0" applyBorder="1" applyFont="1"/>
    <xf borderId="1" fillId="0" fontId="21" numFmtId="0" xfId="0" applyAlignment="1" applyBorder="1" applyFont="1">
      <alignment horizontal="center" shrinkToFit="0" vertical="center" wrapText="1"/>
    </xf>
    <xf borderId="39" fillId="0" fontId="21" numFmtId="0" xfId="0" applyAlignment="1" applyBorder="1" applyFont="1">
      <alignment horizontal="center" shrinkToFit="0" vertical="center" wrapText="1"/>
    </xf>
    <xf borderId="40" fillId="0" fontId="29" numFmtId="0" xfId="0" applyBorder="1" applyFont="1"/>
    <xf borderId="1" fillId="0" fontId="20" numFmtId="0" xfId="0" applyAlignment="1" applyBorder="1" applyFont="1">
      <alignment horizontal="center" shrinkToFit="0" vertical="center" wrapText="1"/>
    </xf>
    <xf borderId="1" fillId="0" fontId="40" numFmtId="0" xfId="0" applyBorder="1" applyFont="1"/>
    <xf borderId="1" fillId="0" fontId="7" numFmtId="0" xfId="0" applyAlignment="1" applyBorder="1" applyFont="1">
      <alignment horizontal="center"/>
    </xf>
    <xf borderId="1" fillId="0" fontId="20" numFmtId="0" xfId="0" applyBorder="1" applyFont="1"/>
    <xf borderId="0" fillId="0" fontId="20" numFmtId="0" xfId="0" applyAlignment="1" applyFont="1">
      <alignment horizontal="center"/>
    </xf>
    <xf borderId="0" fillId="0" fontId="43" numFmtId="0" xfId="0" applyFont="1"/>
    <xf borderId="0" fillId="0" fontId="2" numFmtId="0" xfId="0" applyAlignment="1" applyFont="1">
      <alignment horizontal="left" readingOrder="0" vertical="center"/>
    </xf>
    <xf borderId="1" fillId="0" fontId="16" numFmtId="0" xfId="0" applyAlignment="1" applyBorder="1" applyFont="1">
      <alignment horizontal="center" shrinkToFit="0" vertical="center" wrapText="1"/>
    </xf>
    <xf borderId="1" fillId="0" fontId="33" numFmtId="0" xfId="0" applyAlignment="1" applyBorder="1" applyFont="1">
      <alignment horizontal="center"/>
    </xf>
    <xf borderId="1" fillId="0" fontId="44" numFmtId="0" xfId="0" applyAlignment="1" applyBorder="1" applyFont="1">
      <alignment horizontal="center" shrinkToFit="0" vertical="center" wrapText="1"/>
    </xf>
    <xf borderId="18" fillId="0" fontId="16" numFmtId="0" xfId="0" applyAlignment="1" applyBorder="1" applyFont="1">
      <alignment horizontal="center" shrinkToFit="0" vertical="center" wrapText="1"/>
    </xf>
    <xf borderId="1" fillId="0" fontId="45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left"/>
    </xf>
    <xf borderId="1" fillId="0" fontId="1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6" numFmtId="0" xfId="0" applyAlignment="1" applyBorder="1" applyFont="1">
      <alignment horizontal="center" vertical="center"/>
    </xf>
    <xf borderId="1" fillId="0" fontId="17" numFmtId="0" xfId="0" applyBorder="1" applyFont="1"/>
    <xf borderId="1" fillId="0" fontId="1" numFmtId="0" xfId="0" applyBorder="1" applyFont="1"/>
    <xf borderId="1" fillId="0" fontId="7" numFmtId="0" xfId="0" applyAlignment="1" applyBorder="1" applyFont="1">
      <alignment horizontal="left"/>
    </xf>
    <xf borderId="19" fillId="0" fontId="7" numFmtId="0" xfId="0" applyAlignment="1" applyBorder="1" applyFont="1">
      <alignment horizontal="center"/>
    </xf>
    <xf borderId="1" fillId="0" fontId="46" numFmtId="0" xfId="0" applyAlignment="1" applyBorder="1" applyFont="1">
      <alignment horizontal="center" vertical="top"/>
    </xf>
    <xf borderId="1" fillId="0" fontId="47" numFmtId="0" xfId="0" applyAlignment="1" applyBorder="1" applyFont="1">
      <alignment horizontal="center" vertical="top"/>
    </xf>
    <xf borderId="1" fillId="5" fontId="1" numFmtId="0" xfId="0" applyAlignment="1" applyBorder="1" applyFont="1">
      <alignment horizontal="center" vertical="center"/>
    </xf>
    <xf borderId="41" fillId="5" fontId="1" numFmtId="0" xfId="0" applyAlignment="1" applyBorder="1" applyFont="1">
      <alignment horizontal="center" vertical="center"/>
    </xf>
    <xf borderId="1" fillId="5" fontId="1" numFmtId="0" xfId="0" applyBorder="1" applyFont="1"/>
    <xf borderId="18" fillId="0" fontId="1" numFmtId="0" xfId="0" applyBorder="1" applyFont="1"/>
    <xf borderId="1" fillId="0" fontId="4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 vertical="center"/>
    </xf>
    <xf borderId="19" fillId="0" fontId="4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1" numFmtId="0" xfId="0" applyAlignment="1" applyFont="1">
      <alignment horizontal="center"/>
    </xf>
    <xf borderId="1" fillId="3" fontId="18" numFmtId="0" xfId="0" applyAlignment="1" applyBorder="1" applyFont="1">
      <alignment horizontal="center"/>
    </xf>
    <xf borderId="1" fillId="3" fontId="47" numFmtId="0" xfId="0" applyAlignment="1" applyBorder="1" applyFont="1">
      <alignment horizontal="center"/>
    </xf>
    <xf borderId="1" fillId="3" fontId="23" numFmtId="0" xfId="0" applyAlignment="1" applyBorder="1" applyFont="1">
      <alignment horizontal="center"/>
    </xf>
    <xf borderId="1" fillId="0" fontId="34" numFmtId="0" xfId="0" applyBorder="1" applyFont="1"/>
    <xf borderId="1" fillId="0" fontId="48" numFmtId="0" xfId="0" applyAlignment="1" applyBorder="1" applyFont="1">
      <alignment horizontal="center" vertical="center"/>
    </xf>
    <xf borderId="1" fillId="0" fontId="33" numFmtId="0" xfId="0" applyAlignment="1" applyBorder="1" applyFont="1">
      <alignment horizontal="center" shrinkToFit="0" vertical="center" wrapText="1"/>
    </xf>
    <xf borderId="1" fillId="3" fontId="41" numFmtId="0" xfId="0" applyAlignment="1" applyBorder="1" applyFont="1">
      <alignment horizontal="center" shrinkToFit="0" vertical="center" wrapText="1"/>
    </xf>
    <xf borderId="1" fillId="0" fontId="4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7" numFmtId="10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shrinkToFit="0" wrapText="1"/>
    </xf>
    <xf borderId="1" fillId="3" fontId="17" numFmtId="0" xfId="0" applyAlignment="1" applyBorder="1" applyFont="1">
      <alignment shrinkToFit="0" vertical="center" wrapText="1"/>
    </xf>
    <xf borderId="19" fillId="0" fontId="7" numFmtId="0" xfId="0" applyBorder="1" applyFont="1"/>
    <xf borderId="1" fillId="0" fontId="7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1" fillId="5" fontId="49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wrapText="1"/>
    </xf>
    <xf borderId="1" fillId="0" fontId="17" numFmtId="10" xfId="0" applyAlignment="1" applyBorder="1" applyFont="1" applyNumberFormat="1">
      <alignment horizontal="left" shrinkToFit="0" vertical="center" wrapText="1"/>
    </xf>
    <xf borderId="1" fillId="0" fontId="47" numFmtId="0" xfId="0" applyAlignment="1" applyBorder="1" applyFont="1">
      <alignment horizontal="left" vertical="center"/>
    </xf>
    <xf borderId="1" fillId="5" fontId="7" numFmtId="0" xfId="0" applyBorder="1" applyFont="1"/>
    <xf borderId="1" fillId="5" fontId="7" numFmtId="0" xfId="0" applyAlignment="1" applyBorder="1" applyFont="1">
      <alignment horizontal="left" shrinkToFit="0" wrapText="1"/>
    </xf>
    <xf borderId="1" fillId="5" fontId="7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shrinkToFit="0" wrapText="1"/>
    </xf>
    <xf borderId="41" fillId="5" fontId="17" numFmtId="0" xfId="0" applyBorder="1" applyFont="1"/>
    <xf borderId="41" fillId="5" fontId="7" numFmtId="0" xfId="0" applyBorder="1" applyFont="1"/>
    <xf borderId="41" fillId="5" fontId="7" numFmtId="0" xfId="0" applyAlignment="1" applyBorder="1" applyFont="1">
      <alignment horizontal="left"/>
    </xf>
    <xf borderId="43" fillId="0" fontId="1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49" numFmtId="0" xfId="0" applyAlignment="1" applyFont="1">
      <alignment horizontal="center" shrinkToFit="0" wrapText="1"/>
    </xf>
    <xf borderId="0" fillId="0" fontId="11" numFmtId="0" xfId="0" applyAlignment="1" applyFont="1">
      <alignment vertical="center"/>
    </xf>
    <xf borderId="8" fillId="0" fontId="14" numFmtId="0" xfId="0" applyAlignment="1" applyBorder="1" applyFont="1">
      <alignment horizontal="center" shrinkToFit="0" vertical="center" wrapText="1"/>
    </xf>
    <xf borderId="44" fillId="0" fontId="14" numFmtId="0" xfId="0" applyAlignment="1" applyBorder="1" applyFont="1">
      <alignment horizontal="center" shrinkToFit="0" vertical="center" wrapText="1"/>
    </xf>
    <xf borderId="45" fillId="0" fontId="29" numFmtId="0" xfId="0" applyBorder="1" applyFont="1"/>
    <xf borderId="24" fillId="0" fontId="29" numFmtId="0" xfId="0" applyBorder="1" applyFont="1"/>
    <xf borderId="29" fillId="0" fontId="14" numFmtId="0" xfId="0" applyAlignment="1" applyBorder="1" applyFont="1">
      <alignment horizontal="center" shrinkToFit="0" vertical="center" wrapText="1"/>
    </xf>
    <xf borderId="18" fillId="0" fontId="18" numFmtId="0" xfId="0" applyAlignment="1" applyBorder="1" applyFont="1">
      <alignment horizontal="center" shrinkToFit="0" vertical="center" wrapText="1"/>
    </xf>
    <xf borderId="21" fillId="0" fontId="14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46" fillId="6" fontId="17" numFmtId="9" xfId="0" applyAlignment="1" applyBorder="1" applyFont="1" applyNumberFormat="1">
      <alignment horizontal="center" shrinkToFit="0" vertical="center" wrapText="1"/>
    </xf>
    <xf borderId="30" fillId="6" fontId="17" numFmtId="9" xfId="0" applyAlignment="1" applyBorder="1" applyFont="1" applyNumberFormat="1">
      <alignment horizontal="center" shrinkToFit="0" vertical="center" wrapText="1"/>
    </xf>
    <xf borderId="47" fillId="6" fontId="14" numFmtId="0" xfId="0" applyAlignment="1" applyBorder="1" applyFont="1">
      <alignment horizontal="center" shrinkToFit="0" vertical="center" wrapText="1"/>
    </xf>
    <xf borderId="48" fillId="6" fontId="18" numFmtId="0" xfId="0" applyAlignment="1" applyBorder="1" applyFont="1">
      <alignment horizontal="center" shrinkToFit="0" vertical="center" wrapText="1"/>
    </xf>
    <xf borderId="49" fillId="6" fontId="18" numFmtId="9" xfId="0" applyAlignment="1" applyBorder="1" applyFont="1" applyNumberFormat="1">
      <alignment horizontal="center" shrinkToFit="0" vertical="center" wrapText="1"/>
    </xf>
    <xf borderId="50" fillId="6" fontId="18" numFmtId="0" xfId="0" applyAlignment="1" applyBorder="1" applyFont="1">
      <alignment horizontal="center" shrinkToFit="0" vertical="center" wrapText="1"/>
    </xf>
    <xf borderId="9" fillId="6" fontId="17" numFmtId="9" xfId="0" applyAlignment="1" applyBorder="1" applyFont="1" applyNumberFormat="1">
      <alignment horizontal="center" shrinkToFit="0" vertical="center" wrapText="1"/>
    </xf>
    <xf borderId="1" fillId="0" fontId="49" numFmtId="0" xfId="0" applyAlignment="1" applyBorder="1" applyFont="1">
      <alignment horizontal="center" vertical="center"/>
    </xf>
    <xf borderId="49" fillId="6" fontId="18" numFmtId="0" xfId="0" applyAlignment="1" applyBorder="1" applyFont="1">
      <alignment horizontal="center" shrinkToFit="0" vertical="center" wrapText="1"/>
    </xf>
    <xf borderId="51" fillId="6" fontId="18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12" fillId="0" fontId="18" numFmtId="9" xfId="0" applyAlignment="1" applyBorder="1" applyFont="1" applyNumberForma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35" fillId="0" fontId="18" numFmtId="0" xfId="0" applyAlignment="1" applyBorder="1" applyFont="1">
      <alignment horizontal="center" shrinkToFit="0" vertical="center" wrapText="1"/>
    </xf>
    <xf borderId="8" fillId="0" fontId="18" numFmtId="164" xfId="0" applyAlignment="1" applyBorder="1" applyFont="1" applyNumberForma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52" fillId="0" fontId="18" numFmtId="0" xfId="0" applyAlignment="1" applyBorder="1" applyFont="1">
      <alignment horizontal="center" shrinkToFit="0" vertical="center" wrapText="1"/>
    </xf>
    <xf borderId="21" fillId="0" fontId="18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2" fillId="5" fontId="7" numFmtId="0" xfId="0" applyBorder="1" applyFont="1"/>
    <xf borderId="1" fillId="5" fontId="46" numFmtId="0" xfId="0" applyBorder="1" applyFont="1"/>
    <xf borderId="47" fillId="6" fontId="28" numFmtId="0" xfId="0" applyAlignment="1" applyBorder="1" applyFont="1">
      <alignment shrinkToFit="0" vertical="center" wrapText="1"/>
    </xf>
    <xf borderId="9" fillId="6" fontId="20" numFmtId="2" xfId="0" applyAlignment="1" applyBorder="1" applyFont="1" applyNumberFormat="1">
      <alignment horizontal="center" shrinkToFit="0" vertical="center" wrapText="1"/>
    </xf>
    <xf borderId="10" fillId="6" fontId="20" numFmtId="2" xfId="0" applyAlignment="1" applyBorder="1" applyFont="1" applyNumberFormat="1">
      <alignment horizontal="center" shrinkToFit="0" vertical="center" wrapText="1"/>
    </xf>
    <xf borderId="0" fillId="0" fontId="7" numFmtId="2" xfId="0" applyAlignment="1" applyFont="1" applyNumberFormat="1">
      <alignment shrinkToFit="0" wrapText="1"/>
    </xf>
    <xf borderId="29" fillId="0" fontId="28" numFmtId="0" xfId="0" applyAlignment="1" applyBorder="1" applyFont="1">
      <alignment shrinkToFit="0" vertical="center" wrapText="1"/>
    </xf>
    <xf borderId="9" fillId="6" fontId="20" numFmtId="165" xfId="0" applyAlignment="1" applyBorder="1" applyFont="1" applyNumberFormat="1">
      <alignment horizontal="center" shrinkToFit="0" vertical="center" wrapText="1"/>
    </xf>
    <xf borderId="18" fillId="0" fontId="28" numFmtId="0" xfId="0" applyAlignment="1" applyBorder="1" applyFont="1">
      <alignment horizontal="center" shrinkToFit="0" vertical="center" wrapText="1"/>
    </xf>
    <xf borderId="53" fillId="0" fontId="28" numFmtId="0" xfId="0" applyAlignment="1" applyBorder="1" applyFont="1">
      <alignment horizontal="center" shrinkToFit="0" vertical="center" wrapText="1"/>
    </xf>
    <xf borderId="54" fillId="0" fontId="29" numFmtId="0" xfId="0" applyBorder="1" applyFont="1"/>
    <xf borderId="55" fillId="0" fontId="28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horizontal="center" shrinkToFit="0" vertical="center" wrapText="1"/>
    </xf>
    <xf borderId="18" fillId="0" fontId="22" numFmtId="0" xfId="0" applyAlignment="1" applyBorder="1" applyFont="1">
      <alignment horizontal="center" shrinkToFit="0" vertical="center" wrapText="1"/>
    </xf>
    <xf borderId="56" fillId="0" fontId="22" numFmtId="0" xfId="0" applyAlignment="1" applyBorder="1" applyFont="1">
      <alignment horizontal="center" shrinkToFit="0" vertical="center" wrapText="1"/>
    </xf>
    <xf borderId="57" fillId="0" fontId="29" numFmtId="0" xfId="0" applyBorder="1" applyFont="1"/>
    <xf borderId="55" fillId="0" fontId="22" numFmtId="0" xfId="0" applyAlignment="1" applyBorder="1" applyFont="1">
      <alignment horizontal="center" shrinkToFit="0" vertical="center" wrapText="1"/>
    </xf>
    <xf borderId="16" fillId="6" fontId="14" numFmtId="0" xfId="0" applyAlignment="1" applyBorder="1" applyFont="1">
      <alignment horizontal="center" shrinkToFit="0" vertical="center" wrapText="1"/>
    </xf>
    <xf borderId="1" fillId="6" fontId="22" numFmtId="0" xfId="0" applyAlignment="1" applyBorder="1" applyFont="1">
      <alignment horizontal="center" shrinkToFit="0" vertical="center" wrapText="1"/>
    </xf>
    <xf borderId="1" fillId="6" fontId="20" numFmtId="9" xfId="0" applyAlignment="1" applyBorder="1" applyFont="1" applyNumberFormat="1">
      <alignment horizontal="center" shrinkToFit="0" vertical="center" wrapText="1"/>
    </xf>
    <xf borderId="0" fillId="0" fontId="22" numFmtId="2" xfId="0" applyAlignment="1" applyFont="1" applyNumberForma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6" fontId="20" numFmtId="1" xfId="0" applyAlignment="1" applyBorder="1" applyFont="1" applyNumberFormat="1">
      <alignment horizontal="center" shrinkToFit="0" vertical="center" wrapText="1"/>
    </xf>
    <xf borderId="1" fillId="6" fontId="22" numFmtId="1" xfId="0" applyAlignment="1" applyBorder="1" applyFont="1" applyNumberFormat="1">
      <alignment horizontal="center" shrinkToFit="0" vertical="center" wrapText="1"/>
    </xf>
    <xf borderId="0" fillId="0" fontId="7" numFmtId="1" xfId="0" applyFont="1" applyNumberFormat="1"/>
    <xf borderId="1" fillId="0" fontId="23" numFmtId="1" xfId="0" applyAlignment="1" applyBorder="1" applyFont="1" applyNumberFormat="1">
      <alignment horizontal="center" shrinkToFit="0" vertical="center" wrapText="1"/>
    </xf>
    <xf borderId="17" fillId="0" fontId="21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vertical="center"/>
    </xf>
    <xf borderId="1" fillId="0" fontId="20" numFmtId="0" xfId="0" applyAlignment="1" applyBorder="1" applyFont="1">
      <alignment vertical="top"/>
    </xf>
    <xf borderId="1" fillId="0" fontId="34" numFmtId="0" xfId="0" applyAlignment="1" applyBorder="1" applyFont="1">
      <alignment horizontal="center"/>
    </xf>
    <xf borderId="1" fillId="0" fontId="50" numFmtId="0" xfId="0" applyAlignment="1" applyBorder="1" applyFont="1">
      <alignment horizontal="center"/>
    </xf>
    <xf borderId="0" fillId="0" fontId="33" numFmtId="0" xfId="0" applyFont="1"/>
    <xf borderId="0" fillId="0" fontId="12" numFmtId="0" xfId="0" applyAlignment="1" applyFont="1">
      <alignment horizontal="left"/>
    </xf>
    <xf borderId="0" fillId="0" fontId="22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wrapText="1"/>
    </xf>
    <xf borderId="0" fillId="0" fontId="33" numFmtId="0" xfId="0" applyAlignment="1" applyFont="1">
      <alignment horizontal="left"/>
    </xf>
    <xf borderId="0" fillId="0" fontId="51" numFmtId="0" xfId="0" applyAlignment="1" applyFont="1">
      <alignment readingOrder="0"/>
    </xf>
    <xf borderId="1" fillId="0" fontId="22" numFmtId="0" xfId="0" applyAlignment="1" applyBorder="1" applyFont="1">
      <alignment shrinkToFit="0" vertical="center" wrapText="1"/>
    </xf>
    <xf borderId="18" fillId="0" fontId="20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shrinkToFit="0" vertical="center" wrapText="1"/>
    </xf>
    <xf borderId="1" fillId="0" fontId="52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'Format 2'!$C$95:$C$106</c:f>
            </c:strRef>
          </c:cat>
          <c:val>
            <c:numRef>
              <c:f>'Format 2'!$H$95:$H$106</c:f>
              <c:numCache/>
            </c:numRef>
          </c:val>
        </c:ser>
        <c:axId val="1579720784"/>
        <c:axId val="2070847511"/>
      </c:barChart>
      <c:catAx>
        <c:axId val="157972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847511"/>
      </c:catAx>
      <c:valAx>
        <c:axId val="2070847511"/>
        <c:scaling>
          <c:orientation val="minMax"/>
          <c:max val="1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720784"/>
        <c:majorUnit val="10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'Format 2'!$C$28:$C$39</c:f>
            </c:strRef>
          </c:cat>
          <c:val>
            <c:numRef>
              <c:f>'Format 2'!$H$28:$H$39</c:f>
              <c:numCache/>
            </c:numRef>
          </c:val>
        </c:ser>
        <c:axId val="1035131113"/>
        <c:axId val="1148209823"/>
      </c:barChart>
      <c:catAx>
        <c:axId val="1035131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209823"/>
      </c:catAx>
      <c:valAx>
        <c:axId val="1148209823"/>
        <c:scaling>
          <c:orientation val="minMax"/>
          <c:max val="1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131113"/>
        <c:majorUnit val="10.0"/>
        <c:minorUnit val="1.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587511852206986"/>
          <c:y val="0.09323127088222623"/>
          <c:w val="0.9175383218390966"/>
          <c:h val="0.8140480629336376"/>
        </c:manualLayout>
      </c:layout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'Format 2'!$C$59:$C$70</c:f>
            </c:strRef>
          </c:cat>
          <c:val>
            <c:numRef>
              <c:f>'Format 2'!$H$59:$H$70</c:f>
              <c:numCache/>
            </c:numRef>
          </c:val>
        </c:ser>
        <c:overlap val="100"/>
        <c:axId val="1313209743"/>
        <c:axId val="1873324508"/>
      </c:barChart>
      <c:catAx>
        <c:axId val="1313209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324508"/>
      </c:catAx>
      <c:valAx>
        <c:axId val="1873324508"/>
        <c:scaling>
          <c:orientation val="minMax"/>
          <c:max val="1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209743"/>
        <c:majorUnit val="10.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'Format 5'!$Q$23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'Format 5'!$R$22:$Y$22</c:f>
            </c:strRef>
          </c:cat>
          <c:val>
            <c:numRef>
              <c:f>'Format 5'!$R$23:$Y$23</c:f>
              <c:numCache/>
            </c:numRef>
          </c:val>
        </c:ser>
        <c:ser>
          <c:idx val="1"/>
          <c:order val="1"/>
          <c:tx>
            <c:v>Total No. of Students Passed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'Format 5'!$R$22:$Y$22</c:f>
            </c:strRef>
          </c:cat>
          <c:val>
            <c:numRef>
              <c:f>'Format 5'!$R$24:$Y$24</c:f>
              <c:numCache/>
            </c:numRef>
          </c:val>
        </c:ser>
        <c:ser>
          <c:idx val="2"/>
          <c:order val="2"/>
          <c:tx>
            <c:strRef>
              <c:f>'Format 5'!$Q$25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'Format 5'!$R$22:$Y$22</c:f>
            </c:strRef>
          </c:cat>
          <c:val>
            <c:numRef>
              <c:f>'Format 5'!$R$25:$Y$25</c:f>
              <c:numCache/>
            </c:numRef>
          </c:val>
        </c:ser>
        <c:ser>
          <c:idx val="3"/>
          <c:order val="3"/>
          <c:tx>
            <c:v>GRADE &gt;7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'Format 5'!$R$22:$Y$22</c:f>
            </c:strRef>
          </c:cat>
          <c:val>
            <c:numRef>
              <c:f>'Format 5'!$R$26:$Y$26</c:f>
              <c:numCache/>
            </c:numRef>
          </c:val>
        </c:ser>
        <c:ser>
          <c:idx val="4"/>
          <c:order val="4"/>
          <c:tx>
            <c:strRef>
              <c:f>'Format 5'!$Q$27</c:f>
            </c:strRef>
          </c:tx>
          <c:cat>
            <c:strRef>
              <c:f>'Format 5'!$R$22:$Y$22</c:f>
            </c:strRef>
          </c:cat>
          <c:val>
            <c:numRef>
              <c:f>'Format 5'!$R$27:$Y$27</c:f>
              <c:numCache/>
            </c:numRef>
          </c:val>
        </c:ser>
        <c:ser>
          <c:idx val="5"/>
          <c:order val="5"/>
          <c:tx>
            <c:strRef>
              <c:f>'Format 5'!$Q$29</c:f>
            </c:strRef>
          </c:tx>
          <c:cat>
            <c:strRef>
              <c:f>'Format 5'!$R$22:$Y$22</c:f>
            </c:strRef>
          </c:cat>
          <c:val>
            <c:numRef>
              <c:f>'Format 5'!$R$29:$Y$29</c:f>
              <c:numCache/>
            </c:numRef>
          </c:val>
        </c:ser>
        <c:ser>
          <c:idx val="6"/>
          <c:order val="6"/>
          <c:tx>
            <c:strRef>
              <c:f>'Format 5'!$Q$30</c:f>
            </c:strRef>
          </c:tx>
          <c:cat>
            <c:strRef>
              <c:f>'Format 5'!$R$22:$Y$22</c:f>
            </c:strRef>
          </c:cat>
          <c:val>
            <c:numRef>
              <c:f>'Format 5'!$R$30:$Y$30</c:f>
              <c:numCache/>
            </c:numRef>
          </c:val>
        </c:ser>
        <c:ser>
          <c:idx val="7"/>
          <c:order val="7"/>
          <c:tx>
            <c:strRef>
              <c:f>'Format 5'!$Q$31</c:f>
            </c:strRef>
          </c:tx>
          <c:cat>
            <c:strRef>
              <c:f>'Format 5'!$R$22:$Y$22</c:f>
            </c:strRef>
          </c:cat>
          <c:val>
            <c:numRef>
              <c:f>'Format 5'!$R$31:$Y$31</c:f>
              <c:numCache/>
            </c:numRef>
          </c:val>
        </c:ser>
        <c:axId val="1526824624"/>
        <c:axId val="1446330089"/>
      </c:barChart>
      <c:catAx>
        <c:axId val="152682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330089"/>
      </c:catAx>
      <c:valAx>
        <c:axId val="1446330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824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No. of Students Passed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'Format 10'!$AG$61:$AM$61</c:f>
            </c:strRef>
          </c:cat>
          <c:val>
            <c:numRef>
              <c:f>'Format 10'!$AG$62:$AM$62</c:f>
              <c:numCache/>
            </c:numRef>
          </c:val>
        </c:ser>
        <c:ser>
          <c:idx val="1"/>
          <c:order val="1"/>
          <c:tx>
            <c:v>Total No. of Students Passed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'Format 10'!$AG$61:$AM$61</c:f>
            </c:strRef>
          </c:cat>
          <c:val>
            <c:numRef>
              <c:f>'Format 10'!$AG$63:$AM$63</c:f>
              <c:numCache/>
            </c:numRef>
          </c:val>
        </c:ser>
        <c:ser>
          <c:idx val="2"/>
          <c:order val="2"/>
          <c:tx>
            <c:v>GRADE &gt;7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'Format 10'!$AG$61:$AM$61</c:f>
            </c:strRef>
          </c:cat>
          <c:val>
            <c:numRef>
              <c:f>'Format 10'!$AG$64:$AM$64</c:f>
              <c:numCache/>
            </c:numRef>
          </c:val>
        </c:ser>
        <c:ser>
          <c:idx val="3"/>
          <c:order val="3"/>
          <c:tx>
            <c:v>GRADE &gt;7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'Format 10'!$AG$61:$AM$61</c:f>
            </c:strRef>
          </c:cat>
          <c:val>
            <c:numRef>
              <c:f>'Format 10'!$AG$65:$AM$65</c:f>
              <c:numCache/>
            </c:numRef>
          </c:val>
        </c:ser>
        <c:ser>
          <c:idx val="4"/>
          <c:order val="4"/>
          <c:tx>
            <c:strRef>
              <c:f>'Format 10'!$AE$66:$AF$66</c:f>
            </c:strRef>
          </c:tx>
          <c:cat>
            <c:strRef>
              <c:f>'Format 10'!$AG$61:$AM$61</c:f>
            </c:strRef>
          </c:cat>
          <c:val>
            <c:numRef>
              <c:f>'Format 10'!$AG$66:$AM$66</c:f>
              <c:numCache/>
            </c:numRef>
          </c:val>
        </c:ser>
        <c:ser>
          <c:idx val="5"/>
          <c:order val="5"/>
          <c:tx>
            <c:strRef>
              <c:f>'Format 10'!$AE$67:$AF$67</c:f>
            </c:strRef>
          </c:tx>
          <c:cat>
            <c:strRef>
              <c:f>'Format 10'!$AG$61:$AM$61</c:f>
            </c:strRef>
          </c:cat>
          <c:val>
            <c:numRef>
              <c:f>'Format 10'!$AG$67:$AM$67</c:f>
              <c:numCache/>
            </c:numRef>
          </c:val>
        </c:ser>
        <c:ser>
          <c:idx val="6"/>
          <c:order val="6"/>
          <c:tx>
            <c:strRef>
              <c:f>'Format 10'!$AE$68:$AF$68</c:f>
            </c:strRef>
          </c:tx>
          <c:cat>
            <c:strRef>
              <c:f>'Format 10'!$AG$61:$AM$61</c:f>
            </c:strRef>
          </c:cat>
          <c:val>
            <c:numRef>
              <c:f>'Format 10'!$AG$68:$AM$68</c:f>
              <c:numCache/>
            </c:numRef>
          </c:val>
        </c:ser>
        <c:axId val="1732296584"/>
        <c:axId val="1015900783"/>
      </c:barChart>
      <c:catAx>
        <c:axId val="1732296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900783"/>
      </c:catAx>
      <c:valAx>
        <c:axId val="101590078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296584"/>
        <c:majorUnit val="10.0"/>
        <c:minorUnit val="1.0"/>
      </c:valAx>
    </c:plotArea>
    <c:legend>
      <c:legendPos val="r"/>
      <c:layout>
        <c:manualLayout>
          <c:xMode val="edge"/>
          <c:yMode val="edge"/>
          <c:x val="0.8020032726528527"/>
          <c:y val="0.05187037386317739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CET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'Format 11'!$N$30:$N$38</c:f>
            </c:strRef>
          </c:cat>
          <c:val>
            <c:numRef>
              <c:f>'Format 11'!$O$30:$O$38</c:f>
              <c:numCache/>
            </c:numRef>
          </c:val>
        </c:ser>
        <c:ser>
          <c:idx val="1"/>
          <c:order val="1"/>
          <c:tx>
            <c:strRef>
              <c:f>'Format 11'!$P$29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'Format 11'!$N$30:$N$38</c:f>
            </c:strRef>
          </c:cat>
          <c:val>
            <c:numRef>
              <c:f>'Format 11'!$P$30:$P$38</c:f>
              <c:numCache/>
            </c:numRef>
          </c:val>
        </c:ser>
        <c:ser>
          <c:idx val="2"/>
          <c:order val="2"/>
          <c:tx>
            <c:v>COMED K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'Format 11'!$N$30:$N$38</c:f>
            </c:strRef>
          </c:cat>
          <c:val>
            <c:numRef>
              <c:f>'Format 11'!$Q$30:$Q$38</c:f>
              <c:numCache/>
            </c:numRef>
          </c:val>
        </c:ser>
        <c:ser>
          <c:idx val="3"/>
          <c:order val="3"/>
          <c:tx>
            <c:strRef>
              <c:f>'Format 11'!$R$29</c:f>
            </c:strRef>
          </c:tx>
          <c:cat>
            <c:strRef>
              <c:f>'Format 11'!$N$30:$N$38</c:f>
            </c:strRef>
          </c:cat>
          <c:val>
            <c:numRef>
              <c:f>'Format 11'!$R$30:$R$38</c:f>
              <c:numCache/>
            </c:numRef>
          </c:val>
        </c:ser>
        <c:ser>
          <c:idx val="4"/>
          <c:order val="4"/>
          <c:tx>
            <c:strRef>
              <c:f>'Format 11'!$S$29</c:f>
            </c:strRef>
          </c:tx>
          <c:cat>
            <c:strRef>
              <c:f>'Format 11'!$N$30:$N$38</c:f>
            </c:strRef>
          </c:cat>
          <c:val>
            <c:numRef>
              <c:f>'Format 11'!$S$30:$S$38</c:f>
              <c:numCache/>
            </c:numRef>
          </c:val>
        </c:ser>
        <c:ser>
          <c:idx val="5"/>
          <c:order val="5"/>
          <c:tx>
            <c:strRef>
              <c:f>'Format 11'!$T$29</c:f>
            </c:strRef>
          </c:tx>
          <c:cat>
            <c:strRef>
              <c:f>'Format 11'!$N$30:$N$38</c:f>
            </c:strRef>
          </c:cat>
          <c:val>
            <c:numRef>
              <c:f>'Format 11'!$T$30:$T$38</c:f>
              <c:numCache/>
            </c:numRef>
          </c:val>
        </c:ser>
        <c:axId val="1999381939"/>
        <c:axId val="1943751161"/>
      </c:barChart>
      <c:catAx>
        <c:axId val="1999381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751161"/>
      </c:catAx>
      <c:valAx>
        <c:axId val="194375116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381939"/>
        <c:majorUnit val="10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.jpg"/><Relationship Id="rId4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Relationship Id="rId3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66675</xdr:rowOff>
    </xdr:from>
    <xdr:ext cx="485775" cy="447675"/>
    <xdr:pic>
      <xdr:nvPicPr>
        <xdr:cNvPr descr="A picture containing diagram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1152525</xdr:colOff>
      <xdr:row>3</xdr:row>
      <xdr:rowOff>133350</xdr:rowOff>
    </xdr:from>
    <xdr:ext cx="590550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200025</xdr:rowOff>
    </xdr:from>
    <xdr:ext cx="828675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1085850</xdr:colOff>
      <xdr:row>75</xdr:row>
      <xdr:rowOff>76200</xdr:rowOff>
    </xdr:from>
    <xdr:ext cx="8505825" cy="3133725"/>
    <xdr:graphicFrame>
      <xdr:nvGraphicFramePr>
        <xdr:cNvPr id="68745905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285750</xdr:colOff>
      <xdr:row>10</xdr:row>
      <xdr:rowOff>133350</xdr:rowOff>
    </xdr:from>
    <xdr:ext cx="10810875" cy="3095625"/>
    <xdr:graphicFrame>
      <xdr:nvGraphicFramePr>
        <xdr:cNvPr id="44385910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676275</xdr:colOff>
      <xdr:row>43</xdr:row>
      <xdr:rowOff>114300</xdr:rowOff>
    </xdr:from>
    <xdr:ext cx="10048875" cy="3648075"/>
    <xdr:graphicFrame>
      <xdr:nvGraphicFramePr>
        <xdr:cNvPr id="41553963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238125</xdr:colOff>
      <xdr:row>0</xdr:row>
      <xdr:rowOff>85725</xdr:rowOff>
    </xdr:from>
    <xdr:ext cx="485775" cy="447675"/>
    <xdr:pic>
      <xdr:nvPicPr>
        <xdr:cNvPr descr="A picture containing diagram&#10;&#10;Description automatically generated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3</xdr:row>
      <xdr:rowOff>66675</xdr:rowOff>
    </xdr:from>
    <xdr:ext cx="638175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</xdr:row>
      <xdr:rowOff>0</xdr:rowOff>
    </xdr:from>
    <xdr:ext cx="828675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85725</xdr:rowOff>
    </xdr:from>
    <xdr:ext cx="533400" cy="447675"/>
    <xdr:pic>
      <xdr:nvPicPr>
        <xdr:cNvPr descr="A picture containing diagram&#10;&#10;Description automatically generated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3</xdr:row>
      <xdr:rowOff>66675</xdr:rowOff>
    </xdr:from>
    <xdr:ext cx="666750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</xdr:row>
      <xdr:rowOff>0</xdr:rowOff>
    </xdr:from>
    <xdr:ext cx="876300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</xdr:row>
      <xdr:rowOff>142875</xdr:rowOff>
    </xdr:from>
    <xdr:ext cx="8077200" cy="26479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85725</xdr:rowOff>
    </xdr:from>
    <xdr:ext cx="533400" cy="447675"/>
    <xdr:pic>
      <xdr:nvPicPr>
        <xdr:cNvPr descr="A picture containing diagram&#10;&#10;Description automatically generated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3</xdr:row>
      <xdr:rowOff>57150</xdr:rowOff>
    </xdr:from>
    <xdr:ext cx="666750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</xdr:row>
      <xdr:rowOff>0</xdr:rowOff>
    </xdr:from>
    <xdr:ext cx="876300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9</xdr:row>
      <xdr:rowOff>57150</xdr:rowOff>
    </xdr:from>
    <xdr:ext cx="7200900" cy="18383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10</xdr:row>
      <xdr:rowOff>95250</xdr:rowOff>
    </xdr:from>
    <xdr:ext cx="8191500" cy="2809875"/>
    <xdr:graphicFrame>
      <xdr:nvGraphicFramePr>
        <xdr:cNvPr id="24248345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38100</xdr:rowOff>
    </xdr:from>
    <xdr:ext cx="438150" cy="447675"/>
    <xdr:pic>
      <xdr:nvPicPr>
        <xdr:cNvPr descr="A picture containing diagram&#10;&#10;Description automatically generated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447675</xdr:colOff>
      <xdr:row>2</xdr:row>
      <xdr:rowOff>142875</xdr:rowOff>
    </xdr:from>
    <xdr:ext cx="590550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19050</xdr:rowOff>
    </xdr:from>
    <xdr:ext cx="876300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</xdr:row>
      <xdr:rowOff>19050</xdr:rowOff>
    </xdr:from>
    <xdr:ext cx="438150" cy="447675"/>
    <xdr:pic>
      <xdr:nvPicPr>
        <xdr:cNvPr descr="A picture containing diagram&#10;&#10;Description automatically generated"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3</xdr:row>
      <xdr:rowOff>76200</xdr:rowOff>
    </xdr:from>
    <xdr:ext cx="590550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47625</xdr:rowOff>
    </xdr:from>
    <xdr:ext cx="876300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</xdr:rowOff>
    </xdr:from>
    <xdr:ext cx="504825" cy="447675"/>
    <xdr:pic>
      <xdr:nvPicPr>
        <xdr:cNvPr descr="A picture containing diagram&#10;&#10;Description automatically generated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3</xdr:row>
      <xdr:rowOff>171450</xdr:rowOff>
    </xdr:from>
    <xdr:ext cx="723900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</xdr:row>
      <xdr:rowOff>152400</xdr:rowOff>
    </xdr:from>
    <xdr:ext cx="847725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85725</xdr:rowOff>
    </xdr:from>
    <xdr:ext cx="485775" cy="447675"/>
    <xdr:pic>
      <xdr:nvPicPr>
        <xdr:cNvPr descr="A picture containing diagram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3</xdr:row>
      <xdr:rowOff>66675</xdr:rowOff>
    </xdr:from>
    <xdr:ext cx="638175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</xdr:row>
      <xdr:rowOff>0</xdr:rowOff>
    </xdr:from>
    <xdr:ext cx="828675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85725</xdr:rowOff>
    </xdr:from>
    <xdr:ext cx="485775" cy="447675"/>
    <xdr:pic>
      <xdr:nvPicPr>
        <xdr:cNvPr descr="A picture containing diagram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133350</xdr:colOff>
      <xdr:row>3</xdr:row>
      <xdr:rowOff>123825</xdr:rowOff>
    </xdr:from>
    <xdr:ext cx="638175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</xdr:row>
      <xdr:rowOff>0</xdr:rowOff>
    </xdr:from>
    <xdr:ext cx="828675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10848975" cy="3238500"/>
    <xdr:graphicFrame>
      <xdr:nvGraphicFramePr>
        <xdr:cNvPr id="172787522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38100</xdr:rowOff>
    </xdr:from>
    <xdr:ext cx="438150" cy="447675"/>
    <xdr:pic>
      <xdr:nvPicPr>
        <xdr:cNvPr descr="A picture containing diagram&#10;&#10;Description automatically generated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3</xdr:row>
      <xdr:rowOff>95250</xdr:rowOff>
    </xdr:from>
    <xdr:ext cx="590550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19050</xdr:rowOff>
    </xdr:from>
    <xdr:ext cx="876300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7019925" cy="2800350"/>
    <xdr:graphicFrame>
      <xdr:nvGraphicFramePr>
        <xdr:cNvPr id="41248463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38100</xdr:rowOff>
    </xdr:from>
    <xdr:ext cx="438150" cy="447675"/>
    <xdr:pic>
      <xdr:nvPicPr>
        <xdr:cNvPr descr="A picture containing diagram&#10;&#10;Description automatically generated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495300</xdr:colOff>
      <xdr:row>3</xdr:row>
      <xdr:rowOff>114300</xdr:rowOff>
    </xdr:from>
    <xdr:ext cx="590550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19050</xdr:rowOff>
    </xdr:from>
    <xdr:ext cx="876300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66675</xdr:rowOff>
    </xdr:from>
    <xdr:ext cx="485775" cy="447675"/>
    <xdr:pic>
      <xdr:nvPicPr>
        <xdr:cNvPr descr="A picture containing diagram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</xdr:row>
      <xdr:rowOff>66675</xdr:rowOff>
    </xdr:from>
    <xdr:ext cx="590550" cy="466725"/>
    <xdr:pic>
      <xdr:nvPicPr>
        <xdr:cNvPr descr="Logo, company name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200025</xdr:rowOff>
    </xdr:from>
    <xdr:ext cx="828675" cy="657225"/>
    <xdr:pic>
      <xdr:nvPicPr>
        <xdr:cNvPr descr="A picture containing logo, symbol, emblem, LEGO&#10;&#10;Description automatically generated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6.88"/>
    <col customWidth="1" min="3" max="3" width="8.0"/>
    <col customWidth="1" min="4" max="4" width="9.38"/>
    <col customWidth="1" min="5" max="5" width="34.25"/>
    <col customWidth="1" min="6" max="6" width="7.25"/>
    <col customWidth="1" min="7" max="7" width="12.63"/>
    <col customWidth="1" min="8" max="9" width="10.63"/>
    <col customWidth="1" min="10" max="11" width="12.0"/>
    <col customWidth="1" min="12" max="12" width="15.25"/>
    <col customWidth="1" min="13" max="13" width="17.63"/>
    <col customWidth="1" min="14" max="14" width="14.13"/>
    <col customWidth="1" min="15" max="15" width="8.0"/>
    <col customWidth="1" min="16" max="16" width="7.25"/>
    <col customWidth="1" min="17" max="17" width="9.13"/>
    <col customWidth="1" min="18" max="21" width="8.63"/>
  </cols>
  <sheetData>
    <row r="1" ht="15.0" customHeight="1">
      <c r="A1" s="1" t="s">
        <v>0</v>
      </c>
      <c r="O1" s="2"/>
      <c r="P1" s="2"/>
      <c r="Q1" s="2"/>
      <c r="R1" s="2"/>
    </row>
    <row r="2">
      <c r="A2" s="3" t="s">
        <v>1</v>
      </c>
      <c r="O2" s="4"/>
    </row>
    <row r="3" ht="18.75" customHeight="1">
      <c r="A3" s="5" t="s">
        <v>2</v>
      </c>
      <c r="O3" s="6"/>
      <c r="P3" s="6"/>
      <c r="Q3" s="6"/>
      <c r="R3" s="6"/>
      <c r="S3" s="6"/>
      <c r="T3" s="6"/>
      <c r="U3" s="6"/>
    </row>
    <row r="4" ht="15.0" customHeight="1">
      <c r="A4" s="1" t="s">
        <v>3</v>
      </c>
      <c r="O4" s="2"/>
      <c r="P4" s="2"/>
      <c r="Q4" s="2"/>
      <c r="R4" s="2"/>
      <c r="S4" s="2"/>
    </row>
    <row r="5" ht="15.0" customHeight="1">
      <c r="A5" s="1" t="s">
        <v>4</v>
      </c>
      <c r="O5" s="2"/>
      <c r="P5" s="2"/>
      <c r="Q5" s="2"/>
      <c r="R5" s="2"/>
      <c r="S5" s="2"/>
    </row>
    <row r="6" ht="15.0" customHeight="1">
      <c r="A6" s="7" t="s">
        <v>5</v>
      </c>
      <c r="O6" s="8"/>
      <c r="P6" s="8"/>
      <c r="Q6" s="8"/>
      <c r="R6" s="8"/>
      <c r="S6" s="8"/>
    </row>
    <row r="8">
      <c r="A8" s="9" t="s">
        <v>6</v>
      </c>
      <c r="O8" s="10"/>
      <c r="P8" s="10"/>
      <c r="Q8" s="10"/>
    </row>
    <row r="9" ht="15.75" customHeight="1"/>
    <row r="10" ht="44.25" customHeight="1">
      <c r="A10" s="11" t="s">
        <v>7</v>
      </c>
      <c r="B10" s="11" t="s">
        <v>8</v>
      </c>
      <c r="C10" s="11" t="s">
        <v>9</v>
      </c>
      <c r="D10" s="11" t="s">
        <v>10</v>
      </c>
      <c r="E10" s="11" t="s">
        <v>11</v>
      </c>
      <c r="F10" s="11" t="s">
        <v>12</v>
      </c>
      <c r="G10" s="11" t="s">
        <v>13</v>
      </c>
      <c r="H10" s="11" t="s">
        <v>14</v>
      </c>
      <c r="I10" s="11" t="s">
        <v>15</v>
      </c>
      <c r="J10" s="11" t="s">
        <v>16</v>
      </c>
      <c r="K10" s="11" t="s">
        <v>17</v>
      </c>
      <c r="L10" s="11" t="s">
        <v>18</v>
      </c>
      <c r="M10" s="11" t="s">
        <v>19</v>
      </c>
      <c r="N10" s="11" t="s">
        <v>20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 t="s">
        <v>7</v>
      </c>
      <c r="B11" s="13" t="s">
        <v>21</v>
      </c>
      <c r="C11" s="14">
        <v>2000.0</v>
      </c>
      <c r="D11" s="15" t="s">
        <v>22</v>
      </c>
      <c r="E11" s="15" t="s">
        <v>23</v>
      </c>
      <c r="F11" s="16" t="s">
        <v>24</v>
      </c>
      <c r="G11" s="16" t="s">
        <v>25</v>
      </c>
      <c r="H11" s="16" t="s">
        <v>26</v>
      </c>
      <c r="I11" s="17" t="s">
        <v>27</v>
      </c>
      <c r="J11" s="17" t="s">
        <v>27</v>
      </c>
      <c r="K11" s="17" t="s">
        <v>27</v>
      </c>
      <c r="L11" s="16" t="s">
        <v>28</v>
      </c>
      <c r="M11" s="16" t="s">
        <v>29</v>
      </c>
      <c r="N11" s="16" t="s">
        <v>30</v>
      </c>
    </row>
    <row r="12">
      <c r="A12" s="13" t="s">
        <v>7</v>
      </c>
      <c r="B12" s="13" t="s">
        <v>21</v>
      </c>
      <c r="C12" s="14">
        <v>2003.0</v>
      </c>
      <c r="D12" s="15" t="s">
        <v>31</v>
      </c>
      <c r="E12" s="15" t="s">
        <v>32</v>
      </c>
      <c r="F12" s="16" t="s">
        <v>33</v>
      </c>
      <c r="G12" s="16" t="s">
        <v>25</v>
      </c>
      <c r="H12" s="16" t="s">
        <v>26</v>
      </c>
      <c r="I12" s="17" t="s">
        <v>34</v>
      </c>
      <c r="J12" s="17" t="s">
        <v>34</v>
      </c>
      <c r="K12" s="17" t="s">
        <v>34</v>
      </c>
      <c r="L12" s="16" t="s">
        <v>28</v>
      </c>
      <c r="M12" s="16" t="s">
        <v>30</v>
      </c>
      <c r="N12" s="16" t="s">
        <v>35</v>
      </c>
    </row>
    <row r="13">
      <c r="A13" s="13" t="s">
        <v>7</v>
      </c>
      <c r="B13" s="13" t="s">
        <v>21</v>
      </c>
      <c r="C13" s="14">
        <v>2003.0</v>
      </c>
      <c r="D13" s="15" t="s">
        <v>36</v>
      </c>
      <c r="E13" s="15" t="s">
        <v>37</v>
      </c>
      <c r="F13" s="16" t="s">
        <v>24</v>
      </c>
      <c r="G13" s="16" t="s">
        <v>38</v>
      </c>
      <c r="H13" s="16" t="s">
        <v>26</v>
      </c>
      <c r="I13" s="17" t="s">
        <v>27</v>
      </c>
      <c r="J13" s="17" t="s">
        <v>27</v>
      </c>
      <c r="K13" s="17" t="s">
        <v>27</v>
      </c>
      <c r="L13" s="16" t="s">
        <v>28</v>
      </c>
      <c r="M13" s="16" t="s">
        <v>39</v>
      </c>
      <c r="N13" s="16" t="s">
        <v>40</v>
      </c>
    </row>
    <row r="14">
      <c r="A14" s="13" t="s">
        <v>7</v>
      </c>
      <c r="B14" s="13" t="s">
        <v>21</v>
      </c>
      <c r="C14" s="14">
        <v>2003.0</v>
      </c>
      <c r="D14" s="15" t="s">
        <v>41</v>
      </c>
      <c r="E14" s="15" t="s">
        <v>42</v>
      </c>
      <c r="F14" s="16" t="s">
        <v>24</v>
      </c>
      <c r="G14" s="16" t="s">
        <v>43</v>
      </c>
      <c r="H14" s="16" t="s">
        <v>26</v>
      </c>
      <c r="I14" s="17" t="s">
        <v>44</v>
      </c>
      <c r="J14" s="17" t="s">
        <v>44</v>
      </c>
      <c r="K14" s="17" t="s">
        <v>27</v>
      </c>
      <c r="L14" s="16" t="s">
        <v>28</v>
      </c>
      <c r="M14" s="16" t="s">
        <v>30</v>
      </c>
      <c r="N14" s="16" t="s">
        <v>45</v>
      </c>
    </row>
    <row r="15">
      <c r="A15" s="13" t="s">
        <v>7</v>
      </c>
      <c r="B15" s="13" t="s">
        <v>21</v>
      </c>
      <c r="C15" s="14">
        <v>2003.0</v>
      </c>
      <c r="D15" s="15" t="s">
        <v>46</v>
      </c>
      <c r="E15" s="15" t="s">
        <v>47</v>
      </c>
      <c r="F15" s="16" t="s">
        <v>24</v>
      </c>
      <c r="G15" s="16" t="s">
        <v>38</v>
      </c>
      <c r="H15" s="16" t="s">
        <v>26</v>
      </c>
      <c r="I15" s="17" t="s">
        <v>34</v>
      </c>
      <c r="J15" s="17" t="s">
        <v>27</v>
      </c>
      <c r="K15" s="17" t="s">
        <v>27</v>
      </c>
      <c r="L15" s="16" t="s">
        <v>28</v>
      </c>
      <c r="M15" s="16" t="s">
        <v>48</v>
      </c>
      <c r="N15" s="16" t="s">
        <v>49</v>
      </c>
    </row>
    <row r="16">
      <c r="A16" s="13" t="s">
        <v>7</v>
      </c>
      <c r="B16" s="13" t="s">
        <v>21</v>
      </c>
      <c r="C16" s="14">
        <v>2003.0</v>
      </c>
      <c r="D16" s="15" t="s">
        <v>50</v>
      </c>
      <c r="E16" s="15" t="s">
        <v>51</v>
      </c>
      <c r="F16" s="16" t="s">
        <v>24</v>
      </c>
      <c r="G16" s="16" t="s">
        <v>25</v>
      </c>
      <c r="H16" s="16" t="s">
        <v>26</v>
      </c>
      <c r="I16" s="17" t="s">
        <v>34</v>
      </c>
      <c r="J16" s="17" t="s">
        <v>34</v>
      </c>
      <c r="K16" s="17" t="s">
        <v>34</v>
      </c>
      <c r="L16" s="16" t="s">
        <v>28</v>
      </c>
      <c r="M16" s="16" t="s">
        <v>29</v>
      </c>
      <c r="N16" s="16" t="s">
        <v>30</v>
      </c>
    </row>
    <row r="17">
      <c r="A17" s="13" t="s">
        <v>7</v>
      </c>
      <c r="B17" s="13" t="s">
        <v>21</v>
      </c>
      <c r="C17" s="14">
        <v>2003.0</v>
      </c>
      <c r="D17" s="15" t="s">
        <v>52</v>
      </c>
      <c r="E17" s="15" t="s">
        <v>53</v>
      </c>
      <c r="F17" s="16" t="s">
        <v>33</v>
      </c>
      <c r="G17" s="16" t="s">
        <v>38</v>
      </c>
      <c r="H17" s="16" t="s">
        <v>26</v>
      </c>
      <c r="I17" s="17" t="s">
        <v>27</v>
      </c>
      <c r="J17" s="17" t="s">
        <v>27</v>
      </c>
      <c r="K17" s="17" t="s">
        <v>27</v>
      </c>
      <c r="L17" s="16" t="s">
        <v>54</v>
      </c>
      <c r="M17" s="16" t="s">
        <v>55</v>
      </c>
      <c r="N17" s="16" t="s">
        <v>56</v>
      </c>
    </row>
    <row r="18">
      <c r="A18" s="13" t="s">
        <v>7</v>
      </c>
      <c r="B18" s="13" t="s">
        <v>21</v>
      </c>
      <c r="C18" s="14">
        <v>2003.0</v>
      </c>
      <c r="D18" s="15" t="s">
        <v>57</v>
      </c>
      <c r="E18" s="15" t="s">
        <v>58</v>
      </c>
      <c r="F18" s="16" t="s">
        <v>24</v>
      </c>
      <c r="G18" s="16" t="s">
        <v>38</v>
      </c>
      <c r="H18" s="16" t="s">
        <v>26</v>
      </c>
      <c r="I18" s="17" t="s">
        <v>27</v>
      </c>
      <c r="J18" s="17" t="s">
        <v>27</v>
      </c>
      <c r="K18" s="17" t="s">
        <v>27</v>
      </c>
      <c r="L18" s="16" t="s">
        <v>54</v>
      </c>
      <c r="M18" s="16" t="s">
        <v>59</v>
      </c>
      <c r="N18" s="16" t="s">
        <v>60</v>
      </c>
    </row>
    <row r="19">
      <c r="A19" s="13" t="s">
        <v>7</v>
      </c>
      <c r="B19" s="13" t="s">
        <v>21</v>
      </c>
      <c r="C19" s="14">
        <v>2003.0</v>
      </c>
      <c r="D19" s="15" t="s">
        <v>61</v>
      </c>
      <c r="E19" s="15" t="s">
        <v>62</v>
      </c>
      <c r="F19" s="16" t="s">
        <v>24</v>
      </c>
      <c r="G19" s="16" t="s">
        <v>43</v>
      </c>
      <c r="H19" s="16" t="s">
        <v>26</v>
      </c>
      <c r="I19" s="17" t="s">
        <v>63</v>
      </c>
      <c r="J19" s="17" t="s">
        <v>63</v>
      </c>
      <c r="K19" s="17" t="s">
        <v>64</v>
      </c>
      <c r="L19" s="16" t="s">
        <v>28</v>
      </c>
      <c r="M19" s="16" t="s">
        <v>65</v>
      </c>
      <c r="N19" s="16" t="s">
        <v>66</v>
      </c>
    </row>
    <row r="20">
      <c r="A20" s="13" t="s">
        <v>7</v>
      </c>
      <c r="B20" s="13" t="s">
        <v>21</v>
      </c>
      <c r="C20" s="14">
        <v>2003.0</v>
      </c>
      <c r="D20" s="15" t="s">
        <v>67</v>
      </c>
      <c r="E20" s="15" t="s">
        <v>68</v>
      </c>
      <c r="F20" s="16" t="s">
        <v>33</v>
      </c>
      <c r="G20" s="16" t="s">
        <v>43</v>
      </c>
      <c r="H20" s="16" t="s">
        <v>26</v>
      </c>
      <c r="I20" s="17" t="s">
        <v>44</v>
      </c>
      <c r="J20" s="17" t="s">
        <v>69</v>
      </c>
      <c r="K20" s="17" t="s">
        <v>27</v>
      </c>
      <c r="L20" s="16" t="s">
        <v>28</v>
      </c>
      <c r="M20" s="16" t="s">
        <v>70</v>
      </c>
      <c r="N20" s="16" t="s">
        <v>71</v>
      </c>
    </row>
    <row r="21" ht="15.75" customHeight="1">
      <c r="A21" s="13" t="s">
        <v>7</v>
      </c>
      <c r="B21" s="13" t="s">
        <v>21</v>
      </c>
      <c r="C21" s="14">
        <v>2003.0</v>
      </c>
      <c r="D21" s="15" t="s">
        <v>72</v>
      </c>
      <c r="E21" s="15" t="s">
        <v>73</v>
      </c>
      <c r="F21" s="16" t="s">
        <v>24</v>
      </c>
      <c r="G21" s="16" t="s">
        <v>43</v>
      </c>
      <c r="H21" s="16" t="s">
        <v>26</v>
      </c>
      <c r="I21" s="17" t="s">
        <v>74</v>
      </c>
      <c r="J21" s="17" t="s">
        <v>74</v>
      </c>
      <c r="K21" s="17" t="s">
        <v>74</v>
      </c>
      <c r="L21" s="16" t="s">
        <v>28</v>
      </c>
      <c r="M21" s="16" t="s">
        <v>75</v>
      </c>
      <c r="N21" s="16" t="s">
        <v>76</v>
      </c>
    </row>
    <row r="22" ht="15.75" customHeight="1">
      <c r="A22" s="13" t="s">
        <v>7</v>
      </c>
      <c r="B22" s="13" t="s">
        <v>21</v>
      </c>
      <c r="C22" s="14">
        <v>2003.0</v>
      </c>
      <c r="D22" s="15" t="s">
        <v>77</v>
      </c>
      <c r="E22" s="15" t="s">
        <v>78</v>
      </c>
      <c r="F22" s="16" t="s">
        <v>33</v>
      </c>
      <c r="G22" s="16" t="s">
        <v>25</v>
      </c>
      <c r="H22" s="16" t="s">
        <v>26</v>
      </c>
      <c r="I22" s="17" t="s">
        <v>34</v>
      </c>
      <c r="J22" s="17" t="s">
        <v>34</v>
      </c>
      <c r="K22" s="17" t="s">
        <v>34</v>
      </c>
      <c r="L22" s="16" t="s">
        <v>28</v>
      </c>
      <c r="M22" s="16" t="s">
        <v>29</v>
      </c>
      <c r="N22" s="16" t="s">
        <v>30</v>
      </c>
    </row>
    <row r="23" ht="15.75" customHeight="1">
      <c r="A23" s="13" t="s">
        <v>7</v>
      </c>
      <c r="B23" s="13" t="s">
        <v>21</v>
      </c>
      <c r="C23" s="14">
        <v>2003.0</v>
      </c>
      <c r="D23" s="15" t="s">
        <v>79</v>
      </c>
      <c r="E23" s="15" t="s">
        <v>80</v>
      </c>
      <c r="F23" s="16" t="s">
        <v>33</v>
      </c>
      <c r="G23" s="16" t="s">
        <v>38</v>
      </c>
      <c r="H23" s="16" t="s">
        <v>26</v>
      </c>
      <c r="I23" s="17" t="s">
        <v>27</v>
      </c>
      <c r="J23" s="17" t="s">
        <v>27</v>
      </c>
      <c r="K23" s="17" t="s">
        <v>27</v>
      </c>
      <c r="L23" s="16" t="s">
        <v>54</v>
      </c>
      <c r="M23" s="16" t="s">
        <v>59</v>
      </c>
      <c r="N23" s="16" t="s">
        <v>81</v>
      </c>
    </row>
    <row r="24" ht="15.75" customHeight="1">
      <c r="A24" s="13" t="s">
        <v>7</v>
      </c>
      <c r="B24" s="13" t="s">
        <v>21</v>
      </c>
      <c r="C24" s="14">
        <v>2003.0</v>
      </c>
      <c r="D24" s="15" t="s">
        <v>82</v>
      </c>
      <c r="E24" s="15" t="s">
        <v>83</v>
      </c>
      <c r="F24" s="16" t="s">
        <v>24</v>
      </c>
      <c r="G24" s="16" t="s">
        <v>43</v>
      </c>
      <c r="H24" s="16" t="s">
        <v>26</v>
      </c>
      <c r="I24" s="17" t="s">
        <v>74</v>
      </c>
      <c r="J24" s="17" t="s">
        <v>74</v>
      </c>
      <c r="K24" s="17" t="s">
        <v>74</v>
      </c>
      <c r="L24" s="16" t="s">
        <v>28</v>
      </c>
      <c r="M24" s="16" t="s">
        <v>75</v>
      </c>
      <c r="N24" s="16" t="s">
        <v>84</v>
      </c>
    </row>
    <row r="25" ht="15.75" customHeight="1">
      <c r="A25" s="13" t="s">
        <v>7</v>
      </c>
      <c r="B25" s="13" t="s">
        <v>21</v>
      </c>
      <c r="C25" s="14">
        <v>2003.0</v>
      </c>
      <c r="D25" s="15" t="s">
        <v>85</v>
      </c>
      <c r="E25" s="15" t="s">
        <v>86</v>
      </c>
      <c r="F25" s="16" t="s">
        <v>24</v>
      </c>
      <c r="G25" s="16" t="s">
        <v>38</v>
      </c>
      <c r="H25" s="16" t="s">
        <v>26</v>
      </c>
      <c r="I25" s="17" t="s">
        <v>87</v>
      </c>
      <c r="J25" s="17" t="s">
        <v>27</v>
      </c>
      <c r="K25" s="17" t="s">
        <v>27</v>
      </c>
      <c r="L25" s="16" t="s">
        <v>28</v>
      </c>
      <c r="M25" s="16" t="s">
        <v>29</v>
      </c>
      <c r="N25" s="16" t="s">
        <v>88</v>
      </c>
    </row>
    <row r="26" ht="15.75" customHeight="1">
      <c r="A26" s="13" t="s">
        <v>7</v>
      </c>
      <c r="B26" s="13" t="s">
        <v>21</v>
      </c>
      <c r="C26" s="14">
        <v>2003.0</v>
      </c>
      <c r="D26" s="15" t="s">
        <v>89</v>
      </c>
      <c r="E26" s="15" t="s">
        <v>90</v>
      </c>
      <c r="F26" s="16" t="s">
        <v>24</v>
      </c>
      <c r="G26" s="16" t="s">
        <v>25</v>
      </c>
      <c r="H26" s="16" t="s">
        <v>26</v>
      </c>
      <c r="I26" s="17" t="s">
        <v>34</v>
      </c>
      <c r="J26" s="17" t="s">
        <v>34</v>
      </c>
      <c r="K26" s="17" t="s">
        <v>34</v>
      </c>
      <c r="L26" s="16" t="s">
        <v>28</v>
      </c>
      <c r="M26" s="16" t="s">
        <v>29</v>
      </c>
      <c r="N26" s="16" t="s">
        <v>30</v>
      </c>
    </row>
    <row r="27" ht="15.75" customHeight="1">
      <c r="A27" s="13" t="s">
        <v>7</v>
      </c>
      <c r="B27" s="13" t="s">
        <v>21</v>
      </c>
      <c r="C27" s="14">
        <v>2003.0</v>
      </c>
      <c r="D27" s="15" t="s">
        <v>91</v>
      </c>
      <c r="E27" s="15" t="s">
        <v>92</v>
      </c>
      <c r="F27" s="16" t="s">
        <v>24</v>
      </c>
      <c r="G27" s="16" t="s">
        <v>38</v>
      </c>
      <c r="H27" s="16" t="s">
        <v>26</v>
      </c>
      <c r="I27" s="17" t="s">
        <v>44</v>
      </c>
      <c r="J27" s="17" t="s">
        <v>27</v>
      </c>
      <c r="K27" s="17" t="s">
        <v>27</v>
      </c>
      <c r="L27" s="16" t="s">
        <v>28</v>
      </c>
      <c r="M27" s="16" t="s">
        <v>30</v>
      </c>
      <c r="N27" s="16" t="s">
        <v>93</v>
      </c>
    </row>
    <row r="28" ht="15.75" customHeight="1">
      <c r="A28" s="13" t="s">
        <v>7</v>
      </c>
      <c r="B28" s="13" t="s">
        <v>21</v>
      </c>
      <c r="C28" s="14">
        <v>2003.0</v>
      </c>
      <c r="D28" s="15" t="s">
        <v>94</v>
      </c>
      <c r="E28" s="15" t="s">
        <v>95</v>
      </c>
      <c r="F28" s="16" t="s">
        <v>33</v>
      </c>
      <c r="G28" s="16" t="s">
        <v>43</v>
      </c>
      <c r="H28" s="16" t="s">
        <v>26</v>
      </c>
      <c r="I28" s="17" t="s">
        <v>87</v>
      </c>
      <c r="J28" s="17" t="s">
        <v>87</v>
      </c>
      <c r="K28" s="17" t="s">
        <v>87</v>
      </c>
      <c r="L28" s="16" t="s">
        <v>28</v>
      </c>
      <c r="M28" s="16" t="s">
        <v>29</v>
      </c>
      <c r="N28" s="16" t="s">
        <v>96</v>
      </c>
    </row>
    <row r="29" ht="15.75" customHeight="1">
      <c r="A29" s="13" t="s">
        <v>7</v>
      </c>
      <c r="B29" s="13" t="s">
        <v>21</v>
      </c>
      <c r="C29" s="14">
        <v>2003.0</v>
      </c>
      <c r="D29" s="15" t="s">
        <v>97</v>
      </c>
      <c r="E29" s="15" t="s">
        <v>98</v>
      </c>
      <c r="F29" s="16" t="s">
        <v>33</v>
      </c>
      <c r="G29" s="16" t="s">
        <v>38</v>
      </c>
      <c r="H29" s="16" t="s">
        <v>26</v>
      </c>
      <c r="I29" s="17" t="s">
        <v>27</v>
      </c>
      <c r="J29" s="17" t="s">
        <v>27</v>
      </c>
      <c r="K29" s="17" t="s">
        <v>27</v>
      </c>
      <c r="L29" s="16" t="s">
        <v>28</v>
      </c>
      <c r="M29" s="16" t="s">
        <v>29</v>
      </c>
      <c r="N29" s="16" t="s">
        <v>99</v>
      </c>
    </row>
    <row r="30" ht="15.75" customHeight="1">
      <c r="A30" s="13" t="s">
        <v>7</v>
      </c>
      <c r="B30" s="13" t="s">
        <v>21</v>
      </c>
      <c r="C30" s="14">
        <v>2003.0</v>
      </c>
      <c r="D30" s="15" t="s">
        <v>100</v>
      </c>
      <c r="E30" s="15" t="s">
        <v>101</v>
      </c>
      <c r="F30" s="16" t="s">
        <v>33</v>
      </c>
      <c r="G30" s="16" t="s">
        <v>43</v>
      </c>
      <c r="H30" s="16" t="s">
        <v>26</v>
      </c>
      <c r="I30" s="17" t="s">
        <v>44</v>
      </c>
      <c r="J30" s="17" t="s">
        <v>102</v>
      </c>
      <c r="K30" s="17" t="s">
        <v>103</v>
      </c>
      <c r="L30" s="16" t="s">
        <v>28</v>
      </c>
      <c r="M30" s="16" t="s">
        <v>104</v>
      </c>
      <c r="N30" s="16" t="s">
        <v>105</v>
      </c>
    </row>
    <row r="31" ht="15.75" customHeight="1">
      <c r="A31" s="13" t="s">
        <v>7</v>
      </c>
      <c r="B31" s="13" t="s">
        <v>21</v>
      </c>
      <c r="C31" s="14">
        <v>2003.0</v>
      </c>
      <c r="D31" s="15" t="s">
        <v>106</v>
      </c>
      <c r="E31" s="15" t="s">
        <v>107</v>
      </c>
      <c r="F31" s="16" t="s">
        <v>33</v>
      </c>
      <c r="G31" s="16" t="s">
        <v>38</v>
      </c>
      <c r="H31" s="16" t="s">
        <v>26</v>
      </c>
      <c r="I31" s="17" t="s">
        <v>27</v>
      </c>
      <c r="J31" s="17" t="s">
        <v>27</v>
      </c>
      <c r="K31" s="17" t="s">
        <v>27</v>
      </c>
      <c r="L31" s="16" t="s">
        <v>54</v>
      </c>
      <c r="M31" s="16" t="s">
        <v>108</v>
      </c>
      <c r="N31" s="16" t="s">
        <v>109</v>
      </c>
    </row>
    <row r="32" ht="15.75" customHeight="1">
      <c r="A32" s="13" t="s">
        <v>7</v>
      </c>
      <c r="B32" s="13" t="s">
        <v>21</v>
      </c>
      <c r="C32" s="14">
        <v>2003.0</v>
      </c>
      <c r="D32" s="15" t="s">
        <v>110</v>
      </c>
      <c r="E32" s="15" t="s">
        <v>111</v>
      </c>
      <c r="F32" s="16" t="s">
        <v>33</v>
      </c>
      <c r="G32" s="16" t="s">
        <v>43</v>
      </c>
      <c r="H32" s="16" t="s">
        <v>26</v>
      </c>
      <c r="I32" s="17" t="s">
        <v>69</v>
      </c>
      <c r="J32" s="17" t="s">
        <v>69</v>
      </c>
      <c r="K32" s="17" t="s">
        <v>112</v>
      </c>
      <c r="L32" s="16" t="s">
        <v>28</v>
      </c>
      <c r="M32" s="16" t="s">
        <v>29</v>
      </c>
      <c r="N32" s="16" t="s">
        <v>113</v>
      </c>
    </row>
    <row r="33" ht="15.75" customHeight="1">
      <c r="A33" s="13" t="s">
        <v>7</v>
      </c>
      <c r="B33" s="13" t="s">
        <v>21</v>
      </c>
      <c r="C33" s="14">
        <v>2003.0</v>
      </c>
      <c r="D33" s="15" t="s">
        <v>114</v>
      </c>
      <c r="E33" s="15" t="s">
        <v>115</v>
      </c>
      <c r="F33" s="16" t="s">
        <v>33</v>
      </c>
      <c r="G33" s="16" t="s">
        <v>43</v>
      </c>
      <c r="H33" s="16" t="s">
        <v>26</v>
      </c>
      <c r="I33" s="17" t="s">
        <v>116</v>
      </c>
      <c r="J33" s="17" t="s">
        <v>117</v>
      </c>
      <c r="K33" s="17" t="s">
        <v>117</v>
      </c>
      <c r="L33" s="16" t="s">
        <v>28</v>
      </c>
      <c r="M33" s="16" t="s">
        <v>118</v>
      </c>
      <c r="N33" s="16" t="s">
        <v>119</v>
      </c>
    </row>
    <row r="34" ht="15.75" customHeight="1">
      <c r="A34" s="13" t="s">
        <v>7</v>
      </c>
      <c r="B34" s="13" t="s">
        <v>21</v>
      </c>
      <c r="C34" s="14">
        <v>2003.0</v>
      </c>
      <c r="D34" s="15" t="s">
        <v>120</v>
      </c>
      <c r="E34" s="15" t="s">
        <v>121</v>
      </c>
      <c r="F34" s="16" t="s">
        <v>24</v>
      </c>
      <c r="G34" s="16" t="s">
        <v>43</v>
      </c>
      <c r="H34" s="16" t="s">
        <v>26</v>
      </c>
      <c r="I34" s="17" t="s">
        <v>27</v>
      </c>
      <c r="J34" s="17" t="s">
        <v>27</v>
      </c>
      <c r="K34" s="17" t="s">
        <v>27</v>
      </c>
      <c r="L34" s="16" t="s">
        <v>28</v>
      </c>
      <c r="M34" s="16" t="s">
        <v>30</v>
      </c>
      <c r="N34" s="16" t="s">
        <v>122</v>
      </c>
    </row>
    <row r="35" ht="15.75" customHeight="1">
      <c r="A35" s="13" t="s">
        <v>7</v>
      </c>
      <c r="B35" s="13" t="s">
        <v>21</v>
      </c>
      <c r="C35" s="14">
        <v>2003.0</v>
      </c>
      <c r="D35" s="15" t="s">
        <v>123</v>
      </c>
      <c r="E35" s="15" t="s">
        <v>124</v>
      </c>
      <c r="F35" s="16" t="s">
        <v>33</v>
      </c>
      <c r="G35" s="16" t="s">
        <v>43</v>
      </c>
      <c r="H35" s="16" t="s">
        <v>26</v>
      </c>
      <c r="I35" s="17" t="s">
        <v>125</v>
      </c>
      <c r="J35" s="17" t="s">
        <v>74</v>
      </c>
      <c r="K35" s="17" t="s">
        <v>74</v>
      </c>
      <c r="L35" s="16" t="s">
        <v>28</v>
      </c>
      <c r="M35" s="16" t="s">
        <v>126</v>
      </c>
      <c r="N35" s="16" t="s">
        <v>127</v>
      </c>
    </row>
    <row r="36" ht="15.75" customHeight="1">
      <c r="A36" s="13" t="s">
        <v>7</v>
      </c>
      <c r="B36" s="13" t="s">
        <v>21</v>
      </c>
      <c r="C36" s="14">
        <v>2003.0</v>
      </c>
      <c r="D36" s="15" t="s">
        <v>128</v>
      </c>
      <c r="E36" s="15" t="s">
        <v>129</v>
      </c>
      <c r="F36" s="16" t="s">
        <v>24</v>
      </c>
      <c r="G36" s="16" t="s">
        <v>38</v>
      </c>
      <c r="H36" s="16" t="s">
        <v>26</v>
      </c>
      <c r="I36" s="17" t="s">
        <v>27</v>
      </c>
      <c r="J36" s="17" t="s">
        <v>27</v>
      </c>
      <c r="K36" s="17" t="s">
        <v>27</v>
      </c>
      <c r="L36" s="16" t="s">
        <v>54</v>
      </c>
      <c r="M36" s="16" t="s">
        <v>55</v>
      </c>
      <c r="N36" s="16" t="s">
        <v>130</v>
      </c>
    </row>
    <row r="37" ht="15.75" customHeight="1">
      <c r="A37" s="13" t="s">
        <v>7</v>
      </c>
      <c r="B37" s="13" t="s">
        <v>21</v>
      </c>
      <c r="C37" s="14">
        <v>2003.0</v>
      </c>
      <c r="D37" s="15" t="s">
        <v>131</v>
      </c>
      <c r="E37" s="15" t="s">
        <v>132</v>
      </c>
      <c r="F37" s="16" t="s">
        <v>33</v>
      </c>
      <c r="G37" s="16" t="s">
        <v>43</v>
      </c>
      <c r="H37" s="16" t="s">
        <v>26</v>
      </c>
      <c r="I37" s="17" t="s">
        <v>87</v>
      </c>
      <c r="J37" s="17" t="s">
        <v>112</v>
      </c>
      <c r="K37" s="17" t="s">
        <v>27</v>
      </c>
      <c r="L37" s="16" t="s">
        <v>28</v>
      </c>
      <c r="M37" s="16" t="s">
        <v>126</v>
      </c>
      <c r="N37" s="16" t="s">
        <v>133</v>
      </c>
    </row>
    <row r="38" ht="15.75" customHeight="1">
      <c r="A38" s="13" t="s">
        <v>7</v>
      </c>
      <c r="B38" s="13" t="s">
        <v>21</v>
      </c>
      <c r="C38" s="14">
        <v>2003.0</v>
      </c>
      <c r="D38" s="15" t="s">
        <v>134</v>
      </c>
      <c r="E38" s="15" t="s">
        <v>135</v>
      </c>
      <c r="F38" s="16" t="s">
        <v>33</v>
      </c>
      <c r="G38" s="16" t="s">
        <v>25</v>
      </c>
      <c r="H38" s="16" t="s">
        <v>26</v>
      </c>
      <c r="I38" s="17" t="s">
        <v>87</v>
      </c>
      <c r="J38" s="17" t="s">
        <v>87</v>
      </c>
      <c r="K38" s="17" t="s">
        <v>87</v>
      </c>
      <c r="L38" s="16" t="s">
        <v>28</v>
      </c>
      <c r="M38" s="16" t="s">
        <v>30</v>
      </c>
      <c r="N38" s="16" t="s">
        <v>136</v>
      </c>
    </row>
    <row r="39" ht="15.75" customHeight="1">
      <c r="A39" s="13" t="s">
        <v>7</v>
      </c>
      <c r="B39" s="13" t="s">
        <v>21</v>
      </c>
      <c r="C39" s="14">
        <v>2003.0</v>
      </c>
      <c r="D39" s="15" t="s">
        <v>137</v>
      </c>
      <c r="E39" s="15" t="s">
        <v>138</v>
      </c>
      <c r="F39" s="16" t="s">
        <v>33</v>
      </c>
      <c r="G39" s="16" t="s">
        <v>25</v>
      </c>
      <c r="H39" s="16" t="s">
        <v>26</v>
      </c>
      <c r="I39" s="17" t="s">
        <v>44</v>
      </c>
      <c r="J39" s="17" t="s">
        <v>44</v>
      </c>
      <c r="K39" s="17" t="s">
        <v>44</v>
      </c>
      <c r="L39" s="16" t="s">
        <v>28</v>
      </c>
      <c r="M39" s="16" t="s">
        <v>29</v>
      </c>
      <c r="N39" s="16" t="s">
        <v>139</v>
      </c>
    </row>
    <row r="40" ht="15.75" customHeight="1">
      <c r="A40" s="13" t="s">
        <v>7</v>
      </c>
      <c r="B40" s="13" t="s">
        <v>21</v>
      </c>
      <c r="C40" s="14">
        <v>2003.0</v>
      </c>
      <c r="D40" s="15" t="s">
        <v>140</v>
      </c>
      <c r="E40" s="15" t="s">
        <v>141</v>
      </c>
      <c r="F40" s="16" t="s">
        <v>24</v>
      </c>
      <c r="G40" s="16" t="s">
        <v>43</v>
      </c>
      <c r="H40" s="16" t="s">
        <v>26</v>
      </c>
      <c r="I40" s="17" t="s">
        <v>125</v>
      </c>
      <c r="J40" s="17" t="s">
        <v>142</v>
      </c>
      <c r="K40" s="17" t="s">
        <v>143</v>
      </c>
      <c r="L40" s="16" t="s">
        <v>28</v>
      </c>
      <c r="M40" s="16" t="s">
        <v>70</v>
      </c>
      <c r="N40" s="16" t="s">
        <v>144</v>
      </c>
    </row>
    <row r="41" ht="15.75" customHeight="1">
      <c r="A41" s="13" t="s">
        <v>7</v>
      </c>
      <c r="B41" s="13" t="s">
        <v>21</v>
      </c>
      <c r="C41" s="14">
        <v>2003.0</v>
      </c>
      <c r="D41" s="15" t="s">
        <v>145</v>
      </c>
      <c r="E41" s="15" t="s">
        <v>146</v>
      </c>
      <c r="F41" s="16" t="s">
        <v>24</v>
      </c>
      <c r="G41" s="16" t="s">
        <v>43</v>
      </c>
      <c r="H41" s="16" t="s">
        <v>26</v>
      </c>
      <c r="I41" s="17" t="s">
        <v>87</v>
      </c>
      <c r="J41" s="17" t="s">
        <v>27</v>
      </c>
      <c r="K41" s="17" t="s">
        <v>112</v>
      </c>
      <c r="L41" s="16" t="s">
        <v>28</v>
      </c>
      <c r="M41" s="16" t="s">
        <v>126</v>
      </c>
      <c r="N41" s="16" t="s">
        <v>147</v>
      </c>
    </row>
    <row r="42" ht="15.75" customHeight="1">
      <c r="A42" s="13" t="s">
        <v>7</v>
      </c>
      <c r="B42" s="13" t="s">
        <v>21</v>
      </c>
      <c r="C42" s="14">
        <v>2003.0</v>
      </c>
      <c r="D42" s="15" t="s">
        <v>148</v>
      </c>
      <c r="E42" s="15" t="s">
        <v>149</v>
      </c>
      <c r="F42" s="16" t="s">
        <v>24</v>
      </c>
      <c r="G42" s="16" t="s">
        <v>25</v>
      </c>
      <c r="H42" s="16" t="s">
        <v>26</v>
      </c>
      <c r="I42" s="17" t="s">
        <v>87</v>
      </c>
      <c r="J42" s="17" t="s">
        <v>87</v>
      </c>
      <c r="K42" s="17" t="s">
        <v>87</v>
      </c>
      <c r="L42" s="16" t="s">
        <v>28</v>
      </c>
      <c r="M42" s="16" t="s">
        <v>29</v>
      </c>
      <c r="N42" s="16" t="s">
        <v>150</v>
      </c>
    </row>
    <row r="43" ht="15.75" customHeight="1">
      <c r="A43" s="13" t="s">
        <v>7</v>
      </c>
      <c r="B43" s="13" t="s">
        <v>21</v>
      </c>
      <c r="C43" s="14">
        <v>2003.0</v>
      </c>
      <c r="D43" s="15" t="s">
        <v>151</v>
      </c>
      <c r="E43" s="15" t="s">
        <v>152</v>
      </c>
      <c r="F43" s="16" t="s">
        <v>24</v>
      </c>
      <c r="G43" s="16" t="s">
        <v>38</v>
      </c>
      <c r="H43" s="16" t="s">
        <v>26</v>
      </c>
      <c r="I43" s="17" t="s">
        <v>27</v>
      </c>
      <c r="J43" s="17" t="s">
        <v>27</v>
      </c>
      <c r="K43" s="17" t="s">
        <v>27</v>
      </c>
      <c r="L43" s="16" t="s">
        <v>28</v>
      </c>
      <c r="M43" s="16" t="s">
        <v>30</v>
      </c>
      <c r="N43" s="16" t="s">
        <v>153</v>
      </c>
    </row>
    <row r="44" ht="15.75" customHeight="1">
      <c r="A44" s="13" t="s">
        <v>7</v>
      </c>
      <c r="B44" s="13" t="s">
        <v>21</v>
      </c>
      <c r="C44" s="14">
        <v>2003.0</v>
      </c>
      <c r="D44" s="15" t="s">
        <v>154</v>
      </c>
      <c r="E44" s="15" t="s">
        <v>155</v>
      </c>
      <c r="F44" s="16" t="s">
        <v>33</v>
      </c>
      <c r="G44" s="16" t="s">
        <v>25</v>
      </c>
      <c r="H44" s="16" t="s">
        <v>26</v>
      </c>
      <c r="I44" s="17" t="s">
        <v>156</v>
      </c>
      <c r="J44" s="17" t="s">
        <v>156</v>
      </c>
      <c r="K44" s="17" t="s">
        <v>156</v>
      </c>
      <c r="L44" s="16" t="s">
        <v>28</v>
      </c>
      <c r="M44" s="16" t="s">
        <v>29</v>
      </c>
      <c r="N44" s="16" t="s">
        <v>30</v>
      </c>
    </row>
    <row r="45" ht="15.75" customHeight="1">
      <c r="A45" s="13" t="s">
        <v>7</v>
      </c>
      <c r="B45" s="13" t="s">
        <v>21</v>
      </c>
      <c r="C45" s="14">
        <v>2003.0</v>
      </c>
      <c r="D45" s="15" t="s">
        <v>157</v>
      </c>
      <c r="E45" s="15" t="s">
        <v>158</v>
      </c>
      <c r="F45" s="16" t="s">
        <v>33</v>
      </c>
      <c r="G45" s="16" t="s">
        <v>43</v>
      </c>
      <c r="H45" s="16" t="s">
        <v>26</v>
      </c>
      <c r="I45" s="17" t="s">
        <v>87</v>
      </c>
      <c r="J45" s="17" t="s">
        <v>159</v>
      </c>
      <c r="K45" s="17" t="s">
        <v>27</v>
      </c>
      <c r="L45" s="16" t="s">
        <v>28</v>
      </c>
      <c r="M45" s="16" t="s">
        <v>160</v>
      </c>
      <c r="N45" s="16" t="s">
        <v>161</v>
      </c>
    </row>
    <row r="46" ht="15.75" customHeight="1">
      <c r="A46" s="13" t="s">
        <v>7</v>
      </c>
      <c r="B46" s="13" t="s">
        <v>21</v>
      </c>
      <c r="C46" s="14">
        <v>2003.0</v>
      </c>
      <c r="D46" s="15" t="s">
        <v>162</v>
      </c>
      <c r="E46" s="15" t="s">
        <v>163</v>
      </c>
      <c r="F46" s="16" t="s">
        <v>24</v>
      </c>
      <c r="G46" s="16" t="s">
        <v>43</v>
      </c>
      <c r="H46" s="16" t="s">
        <v>26</v>
      </c>
      <c r="I46" s="17" t="s">
        <v>44</v>
      </c>
      <c r="J46" s="17" t="s">
        <v>69</v>
      </c>
      <c r="K46" s="17" t="s">
        <v>69</v>
      </c>
      <c r="L46" s="16" t="s">
        <v>28</v>
      </c>
      <c r="M46" s="16" t="s">
        <v>30</v>
      </c>
      <c r="N46" s="16" t="s">
        <v>164</v>
      </c>
    </row>
    <row r="47" ht="15.75" customHeight="1">
      <c r="A47" s="13" t="s">
        <v>7</v>
      </c>
      <c r="B47" s="13" t="s">
        <v>21</v>
      </c>
      <c r="C47" s="14">
        <v>2003.0</v>
      </c>
      <c r="D47" s="15" t="s">
        <v>165</v>
      </c>
      <c r="E47" s="15" t="s">
        <v>166</v>
      </c>
      <c r="F47" s="16" t="s">
        <v>24</v>
      </c>
      <c r="G47" s="16" t="s">
        <v>25</v>
      </c>
      <c r="H47" s="16" t="s">
        <v>26</v>
      </c>
      <c r="I47" s="17" t="s">
        <v>87</v>
      </c>
      <c r="J47" s="17" t="s">
        <v>87</v>
      </c>
      <c r="K47" s="17" t="s">
        <v>87</v>
      </c>
      <c r="L47" s="16" t="s">
        <v>28</v>
      </c>
      <c r="M47" s="16" t="s">
        <v>29</v>
      </c>
      <c r="N47" s="18">
        <v>133040.0</v>
      </c>
    </row>
    <row r="48" ht="15.75" customHeight="1">
      <c r="A48" s="13" t="s">
        <v>7</v>
      </c>
      <c r="B48" s="13" t="s">
        <v>21</v>
      </c>
      <c r="C48" s="14">
        <v>2003.0</v>
      </c>
      <c r="D48" s="15" t="s">
        <v>167</v>
      </c>
      <c r="E48" s="15" t="s">
        <v>168</v>
      </c>
      <c r="F48" s="16" t="s">
        <v>24</v>
      </c>
      <c r="G48" s="16" t="s">
        <v>43</v>
      </c>
      <c r="H48" s="16" t="s">
        <v>26</v>
      </c>
      <c r="I48" s="17" t="s">
        <v>125</v>
      </c>
      <c r="J48" s="17" t="s">
        <v>125</v>
      </c>
      <c r="K48" s="17" t="s">
        <v>74</v>
      </c>
      <c r="L48" s="16" t="s">
        <v>28</v>
      </c>
      <c r="M48" s="16" t="s">
        <v>29</v>
      </c>
      <c r="N48" s="16" t="s">
        <v>169</v>
      </c>
    </row>
    <row r="49" ht="15.75" customHeight="1">
      <c r="A49" s="13" t="s">
        <v>7</v>
      </c>
      <c r="B49" s="13" t="s">
        <v>21</v>
      </c>
      <c r="C49" s="14">
        <v>2003.0</v>
      </c>
      <c r="D49" s="15" t="s">
        <v>170</v>
      </c>
      <c r="E49" s="15" t="s">
        <v>171</v>
      </c>
      <c r="F49" s="16" t="s">
        <v>24</v>
      </c>
      <c r="G49" s="16" t="s">
        <v>38</v>
      </c>
      <c r="H49" s="16" t="s">
        <v>26</v>
      </c>
      <c r="I49" s="17" t="s">
        <v>27</v>
      </c>
      <c r="J49" s="17" t="s">
        <v>27</v>
      </c>
      <c r="K49" s="17" t="s">
        <v>27</v>
      </c>
      <c r="L49" s="16" t="s">
        <v>28</v>
      </c>
      <c r="M49" s="16" t="s">
        <v>29</v>
      </c>
      <c r="N49" s="16" t="s">
        <v>172</v>
      </c>
    </row>
    <row r="50" ht="15.75" customHeight="1">
      <c r="A50" s="13" t="s">
        <v>7</v>
      </c>
      <c r="B50" s="13" t="s">
        <v>21</v>
      </c>
      <c r="C50" s="14">
        <v>2003.0</v>
      </c>
      <c r="D50" s="15" t="s">
        <v>173</v>
      </c>
      <c r="E50" s="15" t="s">
        <v>174</v>
      </c>
      <c r="F50" s="16" t="s">
        <v>24</v>
      </c>
      <c r="G50" s="16" t="s">
        <v>43</v>
      </c>
      <c r="H50" s="16" t="s">
        <v>26</v>
      </c>
      <c r="I50" s="17" t="s">
        <v>125</v>
      </c>
      <c r="J50" s="17" t="s">
        <v>74</v>
      </c>
      <c r="K50" s="17" t="s">
        <v>74</v>
      </c>
      <c r="L50" s="16" t="s">
        <v>28</v>
      </c>
      <c r="M50" s="16" t="s">
        <v>29</v>
      </c>
      <c r="N50" s="16" t="s">
        <v>175</v>
      </c>
    </row>
    <row r="51" ht="15.75" customHeight="1">
      <c r="A51" s="13" t="s">
        <v>7</v>
      </c>
      <c r="B51" s="13" t="s">
        <v>21</v>
      </c>
      <c r="C51" s="14">
        <v>2003.0</v>
      </c>
      <c r="D51" s="15" t="s">
        <v>176</v>
      </c>
      <c r="E51" s="15" t="s">
        <v>177</v>
      </c>
      <c r="F51" s="16" t="s">
        <v>24</v>
      </c>
      <c r="G51" s="16" t="s">
        <v>43</v>
      </c>
      <c r="H51" s="16" t="s">
        <v>26</v>
      </c>
      <c r="I51" s="17" t="s">
        <v>27</v>
      </c>
      <c r="J51" s="17" t="s">
        <v>27</v>
      </c>
      <c r="K51" s="17" t="s">
        <v>27</v>
      </c>
      <c r="L51" s="16" t="s">
        <v>28</v>
      </c>
      <c r="M51" s="16" t="s">
        <v>178</v>
      </c>
      <c r="N51" s="16" t="s">
        <v>179</v>
      </c>
    </row>
    <row r="52" ht="15.75" customHeight="1">
      <c r="A52" s="13" t="s">
        <v>7</v>
      </c>
      <c r="B52" s="13" t="s">
        <v>21</v>
      </c>
      <c r="C52" s="14">
        <v>2003.0</v>
      </c>
      <c r="D52" s="15" t="s">
        <v>180</v>
      </c>
      <c r="E52" s="15" t="s">
        <v>181</v>
      </c>
      <c r="F52" s="16" t="s">
        <v>33</v>
      </c>
      <c r="G52" s="16" t="s">
        <v>43</v>
      </c>
      <c r="H52" s="16" t="s">
        <v>26</v>
      </c>
      <c r="I52" s="17" t="s">
        <v>34</v>
      </c>
      <c r="J52" s="17" t="s">
        <v>34</v>
      </c>
      <c r="K52" s="17" t="s">
        <v>34</v>
      </c>
      <c r="L52" s="16" t="s">
        <v>28</v>
      </c>
      <c r="M52" s="16" t="s">
        <v>104</v>
      </c>
      <c r="N52" s="16" t="s">
        <v>182</v>
      </c>
    </row>
    <row r="53" ht="15.75" customHeight="1">
      <c r="A53" s="13" t="s">
        <v>7</v>
      </c>
      <c r="B53" s="13" t="s">
        <v>21</v>
      </c>
      <c r="C53" s="14">
        <v>2003.0</v>
      </c>
      <c r="D53" s="15" t="s">
        <v>183</v>
      </c>
      <c r="E53" s="15" t="s">
        <v>184</v>
      </c>
      <c r="F53" s="16" t="s">
        <v>33</v>
      </c>
      <c r="G53" s="16" t="s">
        <v>43</v>
      </c>
      <c r="H53" s="16" t="s">
        <v>26</v>
      </c>
      <c r="I53" s="17" t="s">
        <v>34</v>
      </c>
      <c r="J53" s="17" t="s">
        <v>34</v>
      </c>
      <c r="K53" s="17" t="s">
        <v>34</v>
      </c>
      <c r="L53" s="16" t="s">
        <v>28</v>
      </c>
      <c r="M53" s="16" t="s">
        <v>30</v>
      </c>
      <c r="N53" s="16" t="s">
        <v>185</v>
      </c>
    </row>
    <row r="54" ht="15.75" customHeight="1">
      <c r="A54" s="13" t="s">
        <v>7</v>
      </c>
      <c r="B54" s="13" t="s">
        <v>21</v>
      </c>
      <c r="C54" s="14">
        <v>2003.0</v>
      </c>
      <c r="D54" s="15" t="s">
        <v>186</v>
      </c>
      <c r="E54" s="15" t="s">
        <v>187</v>
      </c>
      <c r="F54" s="16" t="s">
        <v>33</v>
      </c>
      <c r="G54" s="16" t="s">
        <v>25</v>
      </c>
      <c r="H54" s="16" t="s">
        <v>26</v>
      </c>
      <c r="I54" s="17" t="s">
        <v>44</v>
      </c>
      <c r="J54" s="17" t="s">
        <v>44</v>
      </c>
      <c r="K54" s="17" t="s">
        <v>44</v>
      </c>
      <c r="L54" s="16" t="s">
        <v>28</v>
      </c>
      <c r="M54" s="16" t="s">
        <v>188</v>
      </c>
      <c r="N54" s="16" t="s">
        <v>30</v>
      </c>
    </row>
    <row r="55" ht="15.75" customHeight="1">
      <c r="A55" s="13" t="s">
        <v>7</v>
      </c>
      <c r="B55" s="13" t="s">
        <v>21</v>
      </c>
      <c r="C55" s="14">
        <v>2003.0</v>
      </c>
      <c r="D55" s="15" t="s">
        <v>189</v>
      </c>
      <c r="E55" s="15" t="s">
        <v>190</v>
      </c>
      <c r="F55" s="16" t="s">
        <v>33</v>
      </c>
      <c r="G55" s="16" t="s">
        <v>43</v>
      </c>
      <c r="H55" s="16" t="s">
        <v>26</v>
      </c>
      <c r="I55" s="17" t="s">
        <v>87</v>
      </c>
      <c r="J55" s="17" t="s">
        <v>87</v>
      </c>
      <c r="K55" s="17" t="s">
        <v>87</v>
      </c>
      <c r="L55" s="16" t="s">
        <v>28</v>
      </c>
      <c r="M55" s="16" t="s">
        <v>29</v>
      </c>
      <c r="N55" s="16" t="s">
        <v>191</v>
      </c>
    </row>
    <row r="56" ht="15.75" customHeight="1">
      <c r="A56" s="13" t="s">
        <v>7</v>
      </c>
      <c r="B56" s="13" t="s">
        <v>21</v>
      </c>
      <c r="C56" s="14">
        <v>2003.0</v>
      </c>
      <c r="D56" s="15" t="s">
        <v>192</v>
      </c>
      <c r="E56" s="15" t="s">
        <v>193</v>
      </c>
      <c r="F56" s="16" t="s">
        <v>24</v>
      </c>
      <c r="G56" s="16" t="s">
        <v>43</v>
      </c>
      <c r="H56" s="16" t="s">
        <v>26</v>
      </c>
      <c r="I56" s="17" t="s">
        <v>27</v>
      </c>
      <c r="J56" s="17" t="s">
        <v>27</v>
      </c>
      <c r="K56" s="17" t="s">
        <v>27</v>
      </c>
      <c r="L56" s="16" t="s">
        <v>28</v>
      </c>
      <c r="M56" s="16" t="s">
        <v>194</v>
      </c>
      <c r="N56" s="16" t="s">
        <v>195</v>
      </c>
    </row>
    <row r="57" ht="15.75" customHeight="1">
      <c r="A57" s="13" t="s">
        <v>7</v>
      </c>
      <c r="B57" s="13" t="s">
        <v>21</v>
      </c>
      <c r="C57" s="14">
        <v>2003.0</v>
      </c>
      <c r="D57" s="15" t="s">
        <v>196</v>
      </c>
      <c r="E57" s="15" t="s">
        <v>197</v>
      </c>
      <c r="F57" s="16" t="s">
        <v>33</v>
      </c>
      <c r="G57" s="16" t="s">
        <v>43</v>
      </c>
      <c r="H57" s="16" t="s">
        <v>26</v>
      </c>
      <c r="I57" s="17" t="s">
        <v>63</v>
      </c>
      <c r="J57" s="17" t="s">
        <v>198</v>
      </c>
      <c r="K57" s="17" t="s">
        <v>199</v>
      </c>
      <c r="L57" s="16" t="s">
        <v>28</v>
      </c>
      <c r="M57" s="16" t="s">
        <v>200</v>
      </c>
      <c r="N57" s="16" t="s">
        <v>201</v>
      </c>
    </row>
    <row r="58" ht="15.75" customHeight="1">
      <c r="A58" s="13" t="s">
        <v>7</v>
      </c>
      <c r="B58" s="13" t="s">
        <v>21</v>
      </c>
      <c r="C58" s="14">
        <v>2003.0</v>
      </c>
      <c r="D58" s="15" t="s">
        <v>202</v>
      </c>
      <c r="E58" s="15" t="s">
        <v>203</v>
      </c>
      <c r="F58" s="16" t="s">
        <v>24</v>
      </c>
      <c r="G58" s="16" t="s">
        <v>25</v>
      </c>
      <c r="H58" s="16" t="s">
        <v>26</v>
      </c>
      <c r="I58" s="17" t="s">
        <v>27</v>
      </c>
      <c r="J58" s="17" t="s">
        <v>27</v>
      </c>
      <c r="K58" s="17" t="s">
        <v>27</v>
      </c>
      <c r="L58" s="16" t="s">
        <v>28</v>
      </c>
      <c r="M58" s="16" t="s">
        <v>29</v>
      </c>
      <c r="N58" s="16" t="s">
        <v>30</v>
      </c>
    </row>
    <row r="59" ht="15.75" customHeight="1">
      <c r="A59" s="13" t="s">
        <v>7</v>
      </c>
      <c r="B59" s="13" t="s">
        <v>21</v>
      </c>
      <c r="C59" s="14">
        <v>2003.0</v>
      </c>
      <c r="D59" s="15" t="s">
        <v>204</v>
      </c>
      <c r="E59" s="15" t="s">
        <v>205</v>
      </c>
      <c r="F59" s="16" t="s">
        <v>33</v>
      </c>
      <c r="G59" s="16" t="s">
        <v>38</v>
      </c>
      <c r="H59" s="16" t="s">
        <v>26</v>
      </c>
      <c r="I59" s="17" t="s">
        <v>87</v>
      </c>
      <c r="J59" s="17" t="s">
        <v>87</v>
      </c>
      <c r="K59" s="17" t="s">
        <v>87</v>
      </c>
      <c r="L59" s="16" t="s">
        <v>28</v>
      </c>
      <c r="M59" s="16" t="s">
        <v>160</v>
      </c>
      <c r="N59" s="16" t="s">
        <v>206</v>
      </c>
    </row>
    <row r="60" ht="15.75" customHeight="1">
      <c r="A60" s="13" t="s">
        <v>7</v>
      </c>
      <c r="B60" s="13" t="s">
        <v>21</v>
      </c>
      <c r="C60" s="14">
        <v>2003.0</v>
      </c>
      <c r="D60" s="15" t="s">
        <v>207</v>
      </c>
      <c r="E60" s="15" t="s">
        <v>208</v>
      </c>
      <c r="F60" s="16" t="s">
        <v>24</v>
      </c>
      <c r="G60" s="16" t="s">
        <v>43</v>
      </c>
      <c r="H60" s="16" t="s">
        <v>26</v>
      </c>
      <c r="I60" s="17" t="s">
        <v>34</v>
      </c>
      <c r="J60" s="17" t="s">
        <v>209</v>
      </c>
      <c r="K60" s="17" t="s">
        <v>210</v>
      </c>
      <c r="L60" s="16" t="s">
        <v>28</v>
      </c>
      <c r="M60" s="16" t="s">
        <v>211</v>
      </c>
      <c r="N60" s="16" t="s">
        <v>212</v>
      </c>
    </row>
    <row r="61" ht="15.75" customHeight="1">
      <c r="A61" s="13" t="s">
        <v>7</v>
      </c>
      <c r="B61" s="13" t="s">
        <v>21</v>
      </c>
      <c r="C61" s="14">
        <v>2003.0</v>
      </c>
      <c r="D61" s="15" t="s">
        <v>213</v>
      </c>
      <c r="E61" s="15" t="s">
        <v>214</v>
      </c>
      <c r="F61" s="16" t="s">
        <v>24</v>
      </c>
      <c r="G61" s="16" t="s">
        <v>38</v>
      </c>
      <c r="H61" s="16" t="s">
        <v>26</v>
      </c>
      <c r="I61" s="17" t="s">
        <v>27</v>
      </c>
      <c r="J61" s="17" t="s">
        <v>27</v>
      </c>
      <c r="K61" s="17" t="s">
        <v>27</v>
      </c>
      <c r="L61" s="16" t="s">
        <v>28</v>
      </c>
      <c r="M61" s="16" t="s">
        <v>188</v>
      </c>
      <c r="N61" s="16" t="s">
        <v>215</v>
      </c>
    </row>
    <row r="62" ht="15.75" customHeight="1">
      <c r="A62" s="13" t="s">
        <v>7</v>
      </c>
      <c r="B62" s="13" t="s">
        <v>21</v>
      </c>
      <c r="C62" s="14">
        <v>2003.0</v>
      </c>
      <c r="D62" s="15" t="s">
        <v>216</v>
      </c>
      <c r="E62" s="15" t="s">
        <v>217</v>
      </c>
      <c r="F62" s="16" t="s">
        <v>33</v>
      </c>
      <c r="G62" s="16" t="s">
        <v>38</v>
      </c>
      <c r="H62" s="16" t="s">
        <v>26</v>
      </c>
      <c r="I62" s="17" t="s">
        <v>34</v>
      </c>
      <c r="J62" s="17" t="s">
        <v>34</v>
      </c>
      <c r="K62" s="17" t="s">
        <v>27</v>
      </c>
      <c r="L62" s="16" t="s">
        <v>28</v>
      </c>
      <c r="M62" s="16" t="s">
        <v>29</v>
      </c>
      <c r="N62" s="16" t="s">
        <v>218</v>
      </c>
    </row>
    <row r="63" ht="15.75" customHeight="1">
      <c r="A63" s="13" t="s">
        <v>7</v>
      </c>
      <c r="B63" s="13" t="s">
        <v>21</v>
      </c>
      <c r="C63" s="14">
        <v>2003.0</v>
      </c>
      <c r="D63" s="15" t="s">
        <v>219</v>
      </c>
      <c r="E63" s="15" t="s">
        <v>220</v>
      </c>
      <c r="F63" s="16" t="s">
        <v>24</v>
      </c>
      <c r="G63" s="16" t="s">
        <v>38</v>
      </c>
      <c r="H63" s="16" t="s">
        <v>26</v>
      </c>
      <c r="I63" s="17" t="s">
        <v>125</v>
      </c>
      <c r="J63" s="17" t="s">
        <v>125</v>
      </c>
      <c r="K63" s="17" t="s">
        <v>125</v>
      </c>
      <c r="L63" s="16" t="s">
        <v>28</v>
      </c>
      <c r="M63" s="16" t="s">
        <v>30</v>
      </c>
      <c r="N63" s="16" t="s">
        <v>221</v>
      </c>
    </row>
    <row r="64" ht="15.75" customHeight="1">
      <c r="A64" s="13" t="s">
        <v>7</v>
      </c>
      <c r="B64" s="13" t="s">
        <v>21</v>
      </c>
      <c r="C64" s="14">
        <v>2003.0</v>
      </c>
      <c r="D64" s="15" t="s">
        <v>222</v>
      </c>
      <c r="E64" s="15" t="s">
        <v>223</v>
      </c>
      <c r="F64" s="16" t="s">
        <v>24</v>
      </c>
      <c r="G64" s="16" t="s">
        <v>43</v>
      </c>
      <c r="H64" s="16" t="s">
        <v>26</v>
      </c>
      <c r="I64" s="17" t="s">
        <v>125</v>
      </c>
      <c r="J64" s="17" t="s">
        <v>74</v>
      </c>
      <c r="K64" s="17" t="s">
        <v>74</v>
      </c>
      <c r="L64" s="16" t="s">
        <v>28</v>
      </c>
      <c r="M64" s="16" t="s">
        <v>224</v>
      </c>
      <c r="N64" s="16" t="s">
        <v>225</v>
      </c>
    </row>
    <row r="65" ht="15.75" customHeight="1">
      <c r="A65" s="13" t="s">
        <v>7</v>
      </c>
      <c r="B65" s="13" t="s">
        <v>21</v>
      </c>
      <c r="C65" s="14">
        <v>2003.0</v>
      </c>
      <c r="D65" s="15" t="s">
        <v>226</v>
      </c>
      <c r="E65" s="15" t="s">
        <v>227</v>
      </c>
      <c r="F65" s="16" t="s">
        <v>33</v>
      </c>
      <c r="G65" s="16" t="s">
        <v>38</v>
      </c>
      <c r="H65" s="16" t="s">
        <v>26</v>
      </c>
      <c r="I65" s="17" t="s">
        <v>44</v>
      </c>
      <c r="J65" s="17" t="s">
        <v>69</v>
      </c>
      <c r="K65" s="17" t="s">
        <v>69</v>
      </c>
      <c r="L65" s="16" t="s">
        <v>28</v>
      </c>
      <c r="M65" s="16" t="s">
        <v>29</v>
      </c>
      <c r="N65" s="16" t="s">
        <v>228</v>
      </c>
    </row>
    <row r="66" ht="15.75" customHeight="1">
      <c r="A66" s="13" t="s">
        <v>7</v>
      </c>
      <c r="B66" s="13" t="s">
        <v>21</v>
      </c>
      <c r="C66" s="14">
        <v>2003.0</v>
      </c>
      <c r="D66" s="15" t="s">
        <v>229</v>
      </c>
      <c r="E66" s="15" t="s">
        <v>230</v>
      </c>
      <c r="F66" s="16" t="s">
        <v>24</v>
      </c>
      <c r="G66" s="16" t="s">
        <v>43</v>
      </c>
      <c r="H66" s="16" t="s">
        <v>26</v>
      </c>
      <c r="I66" s="17" t="s">
        <v>34</v>
      </c>
      <c r="J66" s="17" t="s">
        <v>210</v>
      </c>
      <c r="K66" s="17" t="s">
        <v>210</v>
      </c>
      <c r="L66" s="16" t="s">
        <v>28</v>
      </c>
      <c r="M66" s="16" t="s">
        <v>104</v>
      </c>
      <c r="N66" s="16" t="s">
        <v>231</v>
      </c>
    </row>
    <row r="67" ht="15.75" customHeight="1">
      <c r="A67" s="13" t="s">
        <v>7</v>
      </c>
      <c r="B67" s="13" t="s">
        <v>21</v>
      </c>
      <c r="C67" s="14">
        <v>2003.0</v>
      </c>
      <c r="D67" s="15" t="s">
        <v>232</v>
      </c>
      <c r="E67" s="15" t="s">
        <v>233</v>
      </c>
      <c r="F67" s="16" t="s">
        <v>24</v>
      </c>
      <c r="G67" s="16" t="s">
        <v>38</v>
      </c>
      <c r="H67" s="16" t="s">
        <v>26</v>
      </c>
      <c r="I67" s="17" t="s">
        <v>34</v>
      </c>
      <c r="J67" s="17" t="s">
        <v>27</v>
      </c>
      <c r="K67" s="17" t="s">
        <v>27</v>
      </c>
      <c r="L67" s="16" t="s">
        <v>28</v>
      </c>
      <c r="M67" s="16" t="s">
        <v>29</v>
      </c>
      <c r="N67" s="16" t="s">
        <v>234</v>
      </c>
    </row>
    <row r="68" ht="15.75" customHeight="1">
      <c r="A68" s="13" t="s">
        <v>7</v>
      </c>
      <c r="B68" s="13" t="s">
        <v>21</v>
      </c>
      <c r="C68" s="14">
        <v>2003.0</v>
      </c>
      <c r="D68" s="15" t="s">
        <v>235</v>
      </c>
      <c r="E68" s="15" t="s">
        <v>236</v>
      </c>
      <c r="F68" s="16" t="s">
        <v>24</v>
      </c>
      <c r="G68" s="16" t="s">
        <v>25</v>
      </c>
      <c r="H68" s="16" t="s">
        <v>26</v>
      </c>
      <c r="I68" s="17" t="s">
        <v>87</v>
      </c>
      <c r="J68" s="17" t="s">
        <v>27</v>
      </c>
      <c r="K68" s="17" t="s">
        <v>27</v>
      </c>
      <c r="L68" s="16" t="s">
        <v>28</v>
      </c>
      <c r="M68" s="16" t="s">
        <v>29</v>
      </c>
      <c r="N68" s="16" t="s">
        <v>237</v>
      </c>
    </row>
    <row r="69" ht="15.75" customHeight="1">
      <c r="A69" s="13" t="s">
        <v>7</v>
      </c>
      <c r="B69" s="13" t="s">
        <v>21</v>
      </c>
      <c r="C69" s="14">
        <v>2003.0</v>
      </c>
      <c r="D69" s="15" t="s">
        <v>238</v>
      </c>
      <c r="E69" s="15" t="s">
        <v>239</v>
      </c>
      <c r="F69" s="16" t="s">
        <v>33</v>
      </c>
      <c r="G69" s="16" t="s">
        <v>25</v>
      </c>
      <c r="H69" s="16" t="s">
        <v>26</v>
      </c>
      <c r="I69" s="17" t="s">
        <v>87</v>
      </c>
      <c r="J69" s="17" t="s">
        <v>87</v>
      </c>
      <c r="K69" s="17" t="s">
        <v>87</v>
      </c>
      <c r="L69" s="16" t="s">
        <v>28</v>
      </c>
      <c r="M69" s="16" t="s">
        <v>30</v>
      </c>
      <c r="N69" s="16" t="s">
        <v>30</v>
      </c>
    </row>
    <row r="70" ht="15.75" customHeight="1">
      <c r="A70" s="13" t="s">
        <v>7</v>
      </c>
      <c r="B70" s="13" t="s">
        <v>21</v>
      </c>
      <c r="C70" s="14">
        <v>2003.0</v>
      </c>
      <c r="D70" s="15" t="s">
        <v>240</v>
      </c>
      <c r="E70" s="15" t="s">
        <v>241</v>
      </c>
      <c r="F70" s="16" t="s">
        <v>33</v>
      </c>
      <c r="G70" s="16" t="s">
        <v>43</v>
      </c>
      <c r="H70" s="16" t="s">
        <v>26</v>
      </c>
      <c r="I70" s="17" t="s">
        <v>63</v>
      </c>
      <c r="J70" s="17" t="s">
        <v>63</v>
      </c>
      <c r="K70" s="17" t="s">
        <v>63</v>
      </c>
      <c r="L70" s="16" t="s">
        <v>28</v>
      </c>
      <c r="M70" s="16" t="s">
        <v>30</v>
      </c>
      <c r="N70" s="16" t="s">
        <v>242</v>
      </c>
    </row>
    <row r="71" ht="15.75" customHeight="1">
      <c r="A71" s="13" t="s">
        <v>7</v>
      </c>
      <c r="B71" s="13" t="s">
        <v>21</v>
      </c>
      <c r="C71" s="14">
        <v>2003.0</v>
      </c>
      <c r="D71" s="15" t="s">
        <v>243</v>
      </c>
      <c r="E71" s="15" t="s">
        <v>244</v>
      </c>
      <c r="F71" s="16" t="s">
        <v>33</v>
      </c>
      <c r="G71" s="16" t="s">
        <v>43</v>
      </c>
      <c r="H71" s="16" t="s">
        <v>26</v>
      </c>
      <c r="I71" s="17" t="s">
        <v>87</v>
      </c>
      <c r="J71" s="17" t="s">
        <v>245</v>
      </c>
      <c r="K71" s="17" t="s">
        <v>103</v>
      </c>
      <c r="L71" s="16" t="s">
        <v>28</v>
      </c>
      <c r="M71" s="16" t="s">
        <v>39</v>
      </c>
      <c r="N71" s="16" t="s">
        <v>246</v>
      </c>
    </row>
    <row r="72" ht="15.75" customHeight="1">
      <c r="A72" s="13" t="s">
        <v>7</v>
      </c>
      <c r="B72" s="13" t="s">
        <v>21</v>
      </c>
      <c r="C72" s="14">
        <v>2003.0</v>
      </c>
      <c r="D72" s="15" t="s">
        <v>247</v>
      </c>
      <c r="E72" s="15" t="s">
        <v>248</v>
      </c>
      <c r="F72" s="16" t="s">
        <v>33</v>
      </c>
      <c r="G72" s="16" t="s">
        <v>43</v>
      </c>
      <c r="H72" s="16" t="s">
        <v>26</v>
      </c>
      <c r="I72" s="17" t="s">
        <v>87</v>
      </c>
      <c r="J72" s="17" t="s">
        <v>245</v>
      </c>
      <c r="K72" s="17" t="s">
        <v>27</v>
      </c>
      <c r="L72" s="16" t="s">
        <v>28</v>
      </c>
      <c r="M72" s="16" t="s">
        <v>249</v>
      </c>
      <c r="N72" s="16" t="s">
        <v>250</v>
      </c>
    </row>
    <row r="73" ht="15.75" customHeight="1">
      <c r="A73" s="13" t="s">
        <v>7</v>
      </c>
      <c r="B73" s="13" t="s">
        <v>21</v>
      </c>
      <c r="C73" s="14">
        <v>2003.0</v>
      </c>
      <c r="D73" s="15" t="s">
        <v>251</v>
      </c>
      <c r="E73" s="15" t="s">
        <v>252</v>
      </c>
      <c r="F73" s="16" t="s">
        <v>24</v>
      </c>
      <c r="G73" s="16" t="s">
        <v>25</v>
      </c>
      <c r="H73" s="16" t="s">
        <v>26</v>
      </c>
      <c r="I73" s="17" t="s">
        <v>87</v>
      </c>
      <c r="J73" s="17" t="s">
        <v>87</v>
      </c>
      <c r="K73" s="17" t="s">
        <v>87</v>
      </c>
      <c r="L73" s="16" t="s">
        <v>28</v>
      </c>
      <c r="M73" s="16" t="s">
        <v>188</v>
      </c>
      <c r="N73" s="16" t="s">
        <v>30</v>
      </c>
    </row>
    <row r="74" ht="15.75" customHeight="1">
      <c r="A74" s="13" t="s">
        <v>7</v>
      </c>
      <c r="B74" s="13" t="s">
        <v>21</v>
      </c>
      <c r="C74" s="14">
        <v>2003.0</v>
      </c>
      <c r="D74" s="15" t="s">
        <v>253</v>
      </c>
      <c r="E74" s="15" t="s">
        <v>254</v>
      </c>
      <c r="F74" s="16" t="s">
        <v>33</v>
      </c>
      <c r="G74" s="16" t="s">
        <v>38</v>
      </c>
      <c r="H74" s="16" t="s">
        <v>26</v>
      </c>
      <c r="I74" s="17" t="s">
        <v>87</v>
      </c>
      <c r="J74" s="17" t="s">
        <v>87</v>
      </c>
      <c r="K74" s="17" t="s">
        <v>87</v>
      </c>
      <c r="L74" s="16" t="s">
        <v>28</v>
      </c>
      <c r="M74" s="16" t="s">
        <v>29</v>
      </c>
      <c r="N74" s="16" t="s">
        <v>255</v>
      </c>
    </row>
    <row r="75" ht="15.75" customHeight="1">
      <c r="A75" s="13" t="s">
        <v>7</v>
      </c>
      <c r="B75" s="13" t="s">
        <v>21</v>
      </c>
      <c r="C75" s="14">
        <v>2003.0</v>
      </c>
      <c r="D75" s="15" t="s">
        <v>256</v>
      </c>
      <c r="E75" s="15" t="s">
        <v>257</v>
      </c>
      <c r="F75" s="16" t="s">
        <v>24</v>
      </c>
      <c r="G75" s="16" t="s">
        <v>43</v>
      </c>
      <c r="H75" s="16" t="s">
        <v>26</v>
      </c>
      <c r="I75" s="17" t="s">
        <v>44</v>
      </c>
      <c r="J75" s="17" t="s">
        <v>258</v>
      </c>
      <c r="K75" s="17" t="s">
        <v>259</v>
      </c>
      <c r="L75" s="16" t="s">
        <v>28</v>
      </c>
      <c r="M75" s="16" t="s">
        <v>160</v>
      </c>
      <c r="N75" s="16" t="s">
        <v>260</v>
      </c>
    </row>
    <row r="76" ht="15.75" customHeight="1">
      <c r="A76" s="13" t="s">
        <v>7</v>
      </c>
      <c r="B76" s="13" t="s">
        <v>21</v>
      </c>
      <c r="C76" s="14">
        <v>2003.0</v>
      </c>
      <c r="D76" s="15" t="s">
        <v>261</v>
      </c>
      <c r="E76" s="15" t="s">
        <v>262</v>
      </c>
      <c r="F76" s="16" t="s">
        <v>33</v>
      </c>
      <c r="G76" s="16" t="s">
        <v>25</v>
      </c>
      <c r="H76" s="16" t="s">
        <v>26</v>
      </c>
      <c r="I76" s="17" t="s">
        <v>27</v>
      </c>
      <c r="J76" s="17" t="s">
        <v>27</v>
      </c>
      <c r="K76" s="17" t="s">
        <v>27</v>
      </c>
      <c r="L76" s="16" t="s">
        <v>28</v>
      </c>
      <c r="M76" s="16" t="s">
        <v>29</v>
      </c>
      <c r="N76" s="16" t="s">
        <v>30</v>
      </c>
    </row>
    <row r="77" ht="15.75" customHeight="1">
      <c r="A77" s="13" t="s">
        <v>7</v>
      </c>
      <c r="B77" s="13" t="s">
        <v>21</v>
      </c>
      <c r="C77" s="14">
        <v>2003.0</v>
      </c>
      <c r="D77" s="15" t="s">
        <v>263</v>
      </c>
      <c r="E77" s="15" t="s">
        <v>264</v>
      </c>
      <c r="F77" s="16" t="s">
        <v>24</v>
      </c>
      <c r="G77" s="16" t="s">
        <v>38</v>
      </c>
      <c r="H77" s="16" t="s">
        <v>26</v>
      </c>
      <c r="I77" s="17" t="s">
        <v>27</v>
      </c>
      <c r="J77" s="17" t="s">
        <v>27</v>
      </c>
      <c r="K77" s="17" t="s">
        <v>27</v>
      </c>
      <c r="L77" s="16" t="s">
        <v>54</v>
      </c>
      <c r="M77" s="16" t="s">
        <v>265</v>
      </c>
      <c r="N77" s="16" t="s">
        <v>266</v>
      </c>
    </row>
    <row r="78" ht="15.75" customHeight="1">
      <c r="A78" s="13" t="s">
        <v>7</v>
      </c>
      <c r="B78" s="13" t="s">
        <v>21</v>
      </c>
      <c r="C78" s="14">
        <v>2003.0</v>
      </c>
      <c r="D78" s="15" t="s">
        <v>267</v>
      </c>
      <c r="E78" s="15" t="s">
        <v>268</v>
      </c>
      <c r="F78" s="16" t="s">
        <v>33</v>
      </c>
      <c r="G78" s="16" t="s">
        <v>25</v>
      </c>
      <c r="H78" s="16" t="s">
        <v>26</v>
      </c>
      <c r="I78" s="17" t="s">
        <v>87</v>
      </c>
      <c r="J78" s="17" t="s">
        <v>87</v>
      </c>
      <c r="K78" s="17" t="s">
        <v>87</v>
      </c>
      <c r="L78" s="16" t="s">
        <v>28</v>
      </c>
      <c r="M78" s="16" t="s">
        <v>29</v>
      </c>
      <c r="N78" s="16" t="s">
        <v>269</v>
      </c>
    </row>
    <row r="79" ht="15.75" customHeight="1">
      <c r="A79" s="13" t="s">
        <v>7</v>
      </c>
      <c r="B79" s="13" t="s">
        <v>21</v>
      </c>
      <c r="C79" s="14">
        <v>2003.0</v>
      </c>
      <c r="D79" s="15" t="s">
        <v>270</v>
      </c>
      <c r="E79" s="15" t="s">
        <v>271</v>
      </c>
      <c r="F79" s="16" t="s">
        <v>33</v>
      </c>
      <c r="G79" s="16" t="s">
        <v>43</v>
      </c>
      <c r="H79" s="16" t="s">
        <v>26</v>
      </c>
      <c r="I79" s="17" t="s">
        <v>87</v>
      </c>
      <c r="J79" s="17" t="s">
        <v>112</v>
      </c>
      <c r="K79" s="17" t="s">
        <v>27</v>
      </c>
      <c r="L79" s="16" t="s">
        <v>28</v>
      </c>
      <c r="M79" s="16" t="s">
        <v>29</v>
      </c>
      <c r="N79" s="16" t="s">
        <v>272</v>
      </c>
    </row>
    <row r="80" ht="15.75" customHeight="1">
      <c r="A80" s="13" t="s">
        <v>7</v>
      </c>
      <c r="B80" s="13" t="s">
        <v>21</v>
      </c>
      <c r="C80" s="14">
        <v>2003.0</v>
      </c>
      <c r="D80" s="15" t="s">
        <v>273</v>
      </c>
      <c r="E80" s="15" t="s">
        <v>274</v>
      </c>
      <c r="F80" s="16" t="s">
        <v>24</v>
      </c>
      <c r="G80" s="16" t="s">
        <v>25</v>
      </c>
      <c r="H80" s="16" t="s">
        <v>26</v>
      </c>
      <c r="I80" s="17" t="s">
        <v>44</v>
      </c>
      <c r="J80" s="17" t="s">
        <v>44</v>
      </c>
      <c r="K80" s="17" t="s">
        <v>44</v>
      </c>
      <c r="L80" s="16" t="s">
        <v>28</v>
      </c>
      <c r="M80" s="16" t="s">
        <v>224</v>
      </c>
      <c r="N80" s="16" t="s">
        <v>275</v>
      </c>
    </row>
    <row r="81" ht="15.75" customHeight="1">
      <c r="A81" s="13" t="s">
        <v>7</v>
      </c>
      <c r="B81" s="13" t="s">
        <v>21</v>
      </c>
      <c r="C81" s="14">
        <v>2003.0</v>
      </c>
      <c r="D81" s="15" t="s">
        <v>276</v>
      </c>
      <c r="E81" s="15" t="s">
        <v>277</v>
      </c>
      <c r="F81" s="16" t="s">
        <v>24</v>
      </c>
      <c r="G81" s="16" t="s">
        <v>38</v>
      </c>
      <c r="H81" s="16" t="s">
        <v>26</v>
      </c>
      <c r="I81" s="17" t="s">
        <v>44</v>
      </c>
      <c r="J81" s="17" t="s">
        <v>27</v>
      </c>
      <c r="K81" s="17" t="s">
        <v>27</v>
      </c>
      <c r="L81" s="16" t="s">
        <v>28</v>
      </c>
      <c r="M81" s="16" t="s">
        <v>29</v>
      </c>
      <c r="N81" s="16" t="s">
        <v>278</v>
      </c>
    </row>
    <row r="82" ht="15.75" customHeight="1">
      <c r="A82" s="13" t="s">
        <v>7</v>
      </c>
      <c r="B82" s="13" t="s">
        <v>21</v>
      </c>
      <c r="C82" s="14">
        <v>2003.0</v>
      </c>
      <c r="D82" s="15" t="s">
        <v>279</v>
      </c>
      <c r="E82" s="15" t="s">
        <v>280</v>
      </c>
      <c r="F82" s="16" t="s">
        <v>24</v>
      </c>
      <c r="G82" s="16" t="s">
        <v>43</v>
      </c>
      <c r="H82" s="16" t="s">
        <v>26</v>
      </c>
      <c r="I82" s="17" t="s">
        <v>125</v>
      </c>
      <c r="J82" s="17" t="s">
        <v>281</v>
      </c>
      <c r="K82" s="17" t="s">
        <v>281</v>
      </c>
      <c r="L82" s="16" t="s">
        <v>28</v>
      </c>
      <c r="M82" s="16" t="s">
        <v>282</v>
      </c>
      <c r="N82" s="16" t="s">
        <v>283</v>
      </c>
    </row>
    <row r="83" ht="15.75" customHeight="1">
      <c r="A83" s="13" t="s">
        <v>7</v>
      </c>
      <c r="B83" s="13" t="s">
        <v>21</v>
      </c>
      <c r="C83" s="14">
        <v>2003.0</v>
      </c>
      <c r="D83" s="15" t="s">
        <v>284</v>
      </c>
      <c r="E83" s="15" t="s">
        <v>285</v>
      </c>
      <c r="F83" s="16" t="s">
        <v>24</v>
      </c>
      <c r="G83" s="16" t="s">
        <v>38</v>
      </c>
      <c r="H83" s="16" t="s">
        <v>26</v>
      </c>
      <c r="I83" s="17" t="s">
        <v>27</v>
      </c>
      <c r="J83" s="17" t="s">
        <v>27</v>
      </c>
      <c r="K83" s="17" t="s">
        <v>27</v>
      </c>
      <c r="L83" s="16" t="s">
        <v>54</v>
      </c>
      <c r="M83" s="16" t="s">
        <v>286</v>
      </c>
      <c r="N83" s="16" t="s">
        <v>287</v>
      </c>
    </row>
    <row r="84" ht="15.75" customHeight="1">
      <c r="A84" s="13" t="s">
        <v>7</v>
      </c>
      <c r="B84" s="13" t="s">
        <v>21</v>
      </c>
      <c r="C84" s="14">
        <v>2003.0</v>
      </c>
      <c r="D84" s="15" t="s">
        <v>288</v>
      </c>
      <c r="E84" s="15" t="s">
        <v>289</v>
      </c>
      <c r="F84" s="16" t="s">
        <v>33</v>
      </c>
      <c r="G84" s="16" t="s">
        <v>43</v>
      </c>
      <c r="H84" s="16" t="s">
        <v>26</v>
      </c>
      <c r="I84" s="17" t="s">
        <v>125</v>
      </c>
      <c r="J84" s="17" t="s">
        <v>74</v>
      </c>
      <c r="K84" s="17" t="s">
        <v>74</v>
      </c>
      <c r="L84" s="16" t="s">
        <v>28</v>
      </c>
      <c r="M84" s="16" t="s">
        <v>29</v>
      </c>
      <c r="N84" s="16" t="s">
        <v>290</v>
      </c>
    </row>
    <row r="85" ht="15.75" customHeight="1">
      <c r="A85" s="13" t="s">
        <v>7</v>
      </c>
      <c r="B85" s="13" t="s">
        <v>21</v>
      </c>
      <c r="C85" s="14">
        <v>2003.0</v>
      </c>
      <c r="D85" s="15" t="s">
        <v>291</v>
      </c>
      <c r="E85" s="15" t="s">
        <v>292</v>
      </c>
      <c r="F85" s="16" t="s">
        <v>24</v>
      </c>
      <c r="G85" s="16" t="s">
        <v>38</v>
      </c>
      <c r="H85" s="16" t="s">
        <v>26</v>
      </c>
      <c r="I85" s="17" t="s">
        <v>27</v>
      </c>
      <c r="J85" s="17" t="s">
        <v>27</v>
      </c>
      <c r="K85" s="17" t="s">
        <v>27</v>
      </c>
      <c r="L85" s="16" t="s">
        <v>54</v>
      </c>
      <c r="M85" s="16" t="s">
        <v>293</v>
      </c>
      <c r="N85" s="16" t="s">
        <v>294</v>
      </c>
    </row>
    <row r="86" ht="15.75" customHeight="1">
      <c r="A86" s="13" t="s">
        <v>7</v>
      </c>
      <c r="B86" s="13" t="s">
        <v>21</v>
      </c>
      <c r="C86" s="14">
        <v>2003.0</v>
      </c>
      <c r="D86" s="15" t="s">
        <v>295</v>
      </c>
      <c r="E86" s="15" t="s">
        <v>296</v>
      </c>
      <c r="F86" s="16" t="s">
        <v>33</v>
      </c>
      <c r="G86" s="16" t="s">
        <v>43</v>
      </c>
      <c r="H86" s="16" t="s">
        <v>26</v>
      </c>
      <c r="I86" s="17" t="s">
        <v>87</v>
      </c>
      <c r="J86" s="17" t="s">
        <v>112</v>
      </c>
      <c r="K86" s="17" t="s">
        <v>27</v>
      </c>
      <c r="L86" s="16" t="s">
        <v>28</v>
      </c>
      <c r="M86" s="16" t="s">
        <v>29</v>
      </c>
      <c r="N86" s="16" t="s">
        <v>297</v>
      </c>
    </row>
    <row r="87" ht="15.75" customHeight="1">
      <c r="A87" s="13" t="s">
        <v>7</v>
      </c>
      <c r="B87" s="13" t="s">
        <v>21</v>
      </c>
      <c r="C87" s="14">
        <v>2003.0</v>
      </c>
      <c r="D87" s="15" t="s">
        <v>298</v>
      </c>
      <c r="E87" s="15" t="s">
        <v>299</v>
      </c>
      <c r="F87" s="16" t="s">
        <v>24</v>
      </c>
      <c r="G87" s="16" t="s">
        <v>38</v>
      </c>
      <c r="H87" s="16" t="s">
        <v>26</v>
      </c>
      <c r="I87" s="17" t="s">
        <v>27</v>
      </c>
      <c r="J87" s="17" t="s">
        <v>27</v>
      </c>
      <c r="K87" s="17" t="s">
        <v>27</v>
      </c>
      <c r="L87" s="16" t="s">
        <v>28</v>
      </c>
      <c r="M87" s="16" t="s">
        <v>30</v>
      </c>
      <c r="N87" s="16" t="s">
        <v>300</v>
      </c>
    </row>
    <row r="88" ht="15.75" customHeight="1">
      <c r="A88" s="13" t="s">
        <v>7</v>
      </c>
      <c r="B88" s="13" t="s">
        <v>21</v>
      </c>
      <c r="C88" s="14">
        <v>2003.0</v>
      </c>
      <c r="D88" s="15" t="s">
        <v>301</v>
      </c>
      <c r="E88" s="15" t="s">
        <v>302</v>
      </c>
      <c r="F88" s="16" t="s">
        <v>24</v>
      </c>
      <c r="G88" s="16" t="s">
        <v>38</v>
      </c>
      <c r="H88" s="16" t="s">
        <v>26</v>
      </c>
      <c r="I88" s="17" t="s">
        <v>87</v>
      </c>
      <c r="J88" s="17" t="s">
        <v>27</v>
      </c>
      <c r="K88" s="17" t="s">
        <v>27</v>
      </c>
      <c r="L88" s="16" t="s">
        <v>28</v>
      </c>
      <c r="M88" s="16" t="s">
        <v>29</v>
      </c>
      <c r="N88" s="16" t="s">
        <v>303</v>
      </c>
    </row>
    <row r="89" ht="15.75" customHeight="1">
      <c r="A89" s="13" t="s">
        <v>7</v>
      </c>
      <c r="B89" s="13" t="s">
        <v>21</v>
      </c>
      <c r="C89" s="14">
        <v>2003.0</v>
      </c>
      <c r="D89" s="15" t="s">
        <v>304</v>
      </c>
      <c r="E89" s="15" t="s">
        <v>305</v>
      </c>
      <c r="F89" s="16" t="s">
        <v>33</v>
      </c>
      <c r="G89" s="16" t="s">
        <v>25</v>
      </c>
      <c r="H89" s="16" t="s">
        <v>26</v>
      </c>
      <c r="I89" s="17" t="s">
        <v>87</v>
      </c>
      <c r="J89" s="17" t="s">
        <v>87</v>
      </c>
      <c r="K89" s="17" t="s">
        <v>87</v>
      </c>
      <c r="L89" s="16" t="s">
        <v>28</v>
      </c>
      <c r="M89" s="16" t="s">
        <v>30</v>
      </c>
      <c r="N89" s="16" t="s">
        <v>30</v>
      </c>
    </row>
    <row r="90" ht="15.75" customHeight="1">
      <c r="A90" s="13" t="s">
        <v>7</v>
      </c>
      <c r="B90" s="13" t="s">
        <v>21</v>
      </c>
      <c r="C90" s="14">
        <v>2003.0</v>
      </c>
      <c r="D90" s="15" t="s">
        <v>306</v>
      </c>
      <c r="E90" s="15" t="s">
        <v>307</v>
      </c>
      <c r="F90" s="16" t="s">
        <v>33</v>
      </c>
      <c r="G90" s="16" t="s">
        <v>43</v>
      </c>
      <c r="H90" s="16" t="s">
        <v>26</v>
      </c>
      <c r="I90" s="17" t="s">
        <v>34</v>
      </c>
      <c r="J90" s="17" t="s">
        <v>308</v>
      </c>
      <c r="K90" s="17" t="s">
        <v>308</v>
      </c>
      <c r="L90" s="16" t="s">
        <v>28</v>
      </c>
      <c r="M90" s="16" t="s">
        <v>118</v>
      </c>
      <c r="N90" s="16" t="s">
        <v>309</v>
      </c>
    </row>
    <row r="91" ht="15.75" customHeight="1">
      <c r="A91" s="13" t="s">
        <v>7</v>
      </c>
      <c r="B91" s="13" t="s">
        <v>21</v>
      </c>
      <c r="C91" s="14">
        <v>2003.0</v>
      </c>
      <c r="D91" s="15" t="s">
        <v>310</v>
      </c>
      <c r="E91" s="15" t="s">
        <v>311</v>
      </c>
      <c r="F91" s="16" t="s">
        <v>33</v>
      </c>
      <c r="G91" s="16" t="s">
        <v>25</v>
      </c>
      <c r="H91" s="16" t="s">
        <v>26</v>
      </c>
      <c r="I91" s="17" t="s">
        <v>87</v>
      </c>
      <c r="J91" s="17" t="s">
        <v>87</v>
      </c>
      <c r="K91" s="17" t="s">
        <v>87</v>
      </c>
      <c r="L91" s="16" t="s">
        <v>28</v>
      </c>
      <c r="M91" s="16" t="s">
        <v>29</v>
      </c>
      <c r="N91" s="16" t="s">
        <v>30</v>
      </c>
    </row>
    <row r="92" ht="15.75" customHeight="1">
      <c r="A92" s="13" t="s">
        <v>7</v>
      </c>
      <c r="B92" s="13" t="s">
        <v>21</v>
      </c>
      <c r="C92" s="14">
        <v>2003.0</v>
      </c>
      <c r="D92" s="15" t="s">
        <v>312</v>
      </c>
      <c r="E92" s="15" t="s">
        <v>313</v>
      </c>
      <c r="F92" s="16" t="s">
        <v>24</v>
      </c>
      <c r="G92" s="16" t="s">
        <v>43</v>
      </c>
      <c r="H92" s="16" t="s">
        <v>26</v>
      </c>
      <c r="I92" s="17" t="s">
        <v>87</v>
      </c>
      <c r="J92" s="17" t="s">
        <v>112</v>
      </c>
      <c r="K92" s="17" t="s">
        <v>27</v>
      </c>
      <c r="L92" s="16" t="s">
        <v>28</v>
      </c>
      <c r="M92" s="16" t="s">
        <v>75</v>
      </c>
      <c r="N92" s="16" t="s">
        <v>314</v>
      </c>
    </row>
    <row r="93" ht="15.75" customHeight="1">
      <c r="A93" s="13" t="s">
        <v>7</v>
      </c>
      <c r="B93" s="13" t="s">
        <v>21</v>
      </c>
      <c r="C93" s="14">
        <v>2003.0</v>
      </c>
      <c r="D93" s="15" t="s">
        <v>315</v>
      </c>
      <c r="E93" s="15" t="s">
        <v>316</v>
      </c>
      <c r="F93" s="16" t="s">
        <v>24</v>
      </c>
      <c r="G93" s="16" t="s">
        <v>43</v>
      </c>
      <c r="H93" s="16" t="s">
        <v>26</v>
      </c>
      <c r="I93" s="17" t="s">
        <v>87</v>
      </c>
      <c r="J93" s="17" t="s">
        <v>112</v>
      </c>
      <c r="K93" s="17" t="s">
        <v>27</v>
      </c>
      <c r="L93" s="16" t="s">
        <v>28</v>
      </c>
      <c r="M93" s="16" t="s">
        <v>30</v>
      </c>
      <c r="N93" s="16" t="s">
        <v>317</v>
      </c>
    </row>
    <row r="94" ht="15.75" customHeight="1">
      <c r="A94" s="13" t="s">
        <v>7</v>
      </c>
      <c r="B94" s="13" t="s">
        <v>21</v>
      </c>
      <c r="C94" s="14">
        <v>2003.0</v>
      </c>
      <c r="D94" s="15" t="s">
        <v>318</v>
      </c>
      <c r="E94" s="15" t="s">
        <v>319</v>
      </c>
      <c r="F94" s="16" t="s">
        <v>33</v>
      </c>
      <c r="G94" s="16" t="s">
        <v>320</v>
      </c>
      <c r="H94" s="16" t="s">
        <v>26</v>
      </c>
      <c r="I94" s="17" t="s">
        <v>87</v>
      </c>
      <c r="J94" s="17" t="s">
        <v>87</v>
      </c>
      <c r="K94" s="17" t="s">
        <v>87</v>
      </c>
      <c r="L94" s="16" t="s">
        <v>28</v>
      </c>
      <c r="M94" s="16" t="s">
        <v>29</v>
      </c>
      <c r="N94" s="16" t="s">
        <v>321</v>
      </c>
    </row>
    <row r="95" ht="15.75" customHeight="1">
      <c r="A95" s="13" t="s">
        <v>7</v>
      </c>
      <c r="B95" s="13" t="s">
        <v>21</v>
      </c>
      <c r="C95" s="14">
        <v>2003.0</v>
      </c>
      <c r="D95" s="15" t="s">
        <v>322</v>
      </c>
      <c r="E95" s="15" t="s">
        <v>323</v>
      </c>
      <c r="F95" s="16" t="s">
        <v>24</v>
      </c>
      <c r="G95" s="16" t="s">
        <v>25</v>
      </c>
      <c r="H95" s="16" t="s">
        <v>26</v>
      </c>
      <c r="I95" s="17" t="s">
        <v>44</v>
      </c>
      <c r="J95" s="17" t="s">
        <v>44</v>
      </c>
      <c r="K95" s="17" t="s">
        <v>44</v>
      </c>
      <c r="L95" s="16" t="s">
        <v>28</v>
      </c>
      <c r="M95" s="16" t="s">
        <v>29</v>
      </c>
      <c r="N95" s="16" t="s">
        <v>30</v>
      </c>
    </row>
    <row r="96" ht="15.75" customHeight="1">
      <c r="A96" s="13" t="s">
        <v>7</v>
      </c>
      <c r="B96" s="13" t="s">
        <v>21</v>
      </c>
      <c r="C96" s="14">
        <v>2003.0</v>
      </c>
      <c r="D96" s="15" t="s">
        <v>324</v>
      </c>
      <c r="E96" s="15" t="s">
        <v>325</v>
      </c>
      <c r="F96" s="16" t="s">
        <v>24</v>
      </c>
      <c r="G96" s="16" t="s">
        <v>38</v>
      </c>
      <c r="H96" s="16" t="s">
        <v>26</v>
      </c>
      <c r="I96" s="17" t="s">
        <v>87</v>
      </c>
      <c r="J96" s="17" t="s">
        <v>27</v>
      </c>
      <c r="K96" s="17" t="s">
        <v>27</v>
      </c>
      <c r="L96" s="16" t="s">
        <v>28</v>
      </c>
      <c r="M96" s="16" t="s">
        <v>178</v>
      </c>
      <c r="N96" s="16" t="s">
        <v>326</v>
      </c>
    </row>
    <row r="97" ht="15.75" customHeight="1">
      <c r="A97" s="13" t="s">
        <v>7</v>
      </c>
      <c r="B97" s="13" t="s">
        <v>21</v>
      </c>
      <c r="C97" s="14">
        <v>2003.0</v>
      </c>
      <c r="D97" s="15" t="s">
        <v>327</v>
      </c>
      <c r="E97" s="15" t="s">
        <v>328</v>
      </c>
      <c r="F97" s="16" t="s">
        <v>24</v>
      </c>
      <c r="G97" s="16" t="s">
        <v>38</v>
      </c>
      <c r="H97" s="16" t="s">
        <v>26</v>
      </c>
      <c r="I97" s="17" t="s">
        <v>27</v>
      </c>
      <c r="J97" s="17" t="s">
        <v>27</v>
      </c>
      <c r="K97" s="17" t="s">
        <v>27</v>
      </c>
      <c r="L97" s="16" t="s">
        <v>54</v>
      </c>
      <c r="M97" s="16" t="s">
        <v>329</v>
      </c>
      <c r="N97" s="16" t="s">
        <v>330</v>
      </c>
    </row>
    <row r="98" ht="15.75" customHeight="1">
      <c r="A98" s="13" t="s">
        <v>7</v>
      </c>
      <c r="B98" s="13" t="s">
        <v>21</v>
      </c>
      <c r="C98" s="14">
        <v>2003.0</v>
      </c>
      <c r="D98" s="15" t="s">
        <v>331</v>
      </c>
      <c r="E98" s="15" t="s">
        <v>332</v>
      </c>
      <c r="F98" s="16" t="s">
        <v>24</v>
      </c>
      <c r="G98" s="16" t="s">
        <v>43</v>
      </c>
      <c r="H98" s="16" t="s">
        <v>26</v>
      </c>
      <c r="I98" s="17" t="s">
        <v>245</v>
      </c>
      <c r="J98" s="17" t="s">
        <v>245</v>
      </c>
      <c r="K98" s="17" t="s">
        <v>103</v>
      </c>
      <c r="L98" s="16" t="s">
        <v>28</v>
      </c>
      <c r="M98" s="16" t="s">
        <v>30</v>
      </c>
      <c r="N98" s="16" t="s">
        <v>333</v>
      </c>
    </row>
    <row r="99" ht="15.75" customHeight="1">
      <c r="A99" s="13" t="s">
        <v>7</v>
      </c>
      <c r="B99" s="13" t="s">
        <v>21</v>
      </c>
      <c r="C99" s="14">
        <v>2003.0</v>
      </c>
      <c r="D99" s="15" t="s">
        <v>334</v>
      </c>
      <c r="E99" s="15" t="s">
        <v>335</v>
      </c>
      <c r="F99" s="16" t="s">
        <v>24</v>
      </c>
      <c r="G99" s="16" t="s">
        <v>25</v>
      </c>
      <c r="H99" s="16" t="s">
        <v>26</v>
      </c>
      <c r="I99" s="17" t="s">
        <v>87</v>
      </c>
      <c r="J99" s="17" t="s">
        <v>87</v>
      </c>
      <c r="K99" s="17" t="s">
        <v>188</v>
      </c>
      <c r="L99" s="16" t="s">
        <v>28</v>
      </c>
      <c r="M99" s="16" t="s">
        <v>30</v>
      </c>
      <c r="N99" s="16" t="s">
        <v>336</v>
      </c>
    </row>
    <row r="100" ht="15.75" customHeight="1">
      <c r="A100" s="13" t="s">
        <v>7</v>
      </c>
      <c r="B100" s="13" t="s">
        <v>21</v>
      </c>
      <c r="C100" s="14">
        <v>2003.0</v>
      </c>
      <c r="D100" s="15" t="s">
        <v>337</v>
      </c>
      <c r="E100" s="15" t="s">
        <v>338</v>
      </c>
      <c r="F100" s="16" t="s">
        <v>24</v>
      </c>
      <c r="G100" s="16" t="s">
        <v>320</v>
      </c>
      <c r="H100" s="16" t="s">
        <v>26</v>
      </c>
      <c r="I100" s="17" t="s">
        <v>44</v>
      </c>
      <c r="J100" s="17" t="s">
        <v>44</v>
      </c>
      <c r="K100" s="17" t="s">
        <v>44</v>
      </c>
      <c r="L100" s="16" t="s">
        <v>28</v>
      </c>
      <c r="M100" s="16" t="s">
        <v>65</v>
      </c>
      <c r="N100" s="16" t="s">
        <v>339</v>
      </c>
    </row>
    <row r="101" ht="15.75" customHeight="1">
      <c r="A101" s="13" t="s">
        <v>7</v>
      </c>
      <c r="B101" s="13" t="s">
        <v>21</v>
      </c>
      <c r="C101" s="14">
        <v>2003.0</v>
      </c>
      <c r="D101" s="15" t="s">
        <v>340</v>
      </c>
      <c r="E101" s="15" t="s">
        <v>341</v>
      </c>
      <c r="F101" s="16" t="s">
        <v>33</v>
      </c>
      <c r="G101" s="16" t="s">
        <v>320</v>
      </c>
      <c r="H101" s="16" t="s">
        <v>26</v>
      </c>
      <c r="I101" s="17" t="s">
        <v>87</v>
      </c>
      <c r="J101" s="17" t="s">
        <v>112</v>
      </c>
      <c r="K101" s="17" t="s">
        <v>342</v>
      </c>
      <c r="L101" s="16" t="s">
        <v>28</v>
      </c>
      <c r="M101" s="16" t="s">
        <v>75</v>
      </c>
      <c r="N101" s="16" t="s">
        <v>343</v>
      </c>
    </row>
    <row r="102" ht="15.75" customHeight="1">
      <c r="A102" s="13" t="s">
        <v>7</v>
      </c>
      <c r="B102" s="13" t="s">
        <v>21</v>
      </c>
      <c r="C102" s="14">
        <v>2003.0</v>
      </c>
      <c r="D102" s="15" t="s">
        <v>344</v>
      </c>
      <c r="E102" s="15" t="s">
        <v>345</v>
      </c>
      <c r="F102" s="16" t="s">
        <v>33</v>
      </c>
      <c r="G102" s="16" t="s">
        <v>43</v>
      </c>
      <c r="H102" s="16" t="s">
        <v>26</v>
      </c>
      <c r="I102" s="17" t="s">
        <v>74</v>
      </c>
      <c r="J102" s="17" t="s">
        <v>74</v>
      </c>
      <c r="K102" s="17" t="s">
        <v>74</v>
      </c>
      <c r="L102" s="16" t="s">
        <v>28</v>
      </c>
      <c r="M102" s="16" t="s">
        <v>39</v>
      </c>
      <c r="N102" s="16" t="s">
        <v>346</v>
      </c>
    </row>
    <row r="103" ht="15.75" customHeight="1">
      <c r="A103" s="13" t="s">
        <v>7</v>
      </c>
      <c r="B103" s="13" t="s">
        <v>21</v>
      </c>
      <c r="C103" s="14">
        <v>2003.0</v>
      </c>
      <c r="D103" s="15" t="s">
        <v>347</v>
      </c>
      <c r="E103" s="15" t="s">
        <v>348</v>
      </c>
      <c r="F103" s="16" t="s">
        <v>24</v>
      </c>
      <c r="G103" s="16" t="s">
        <v>43</v>
      </c>
      <c r="H103" s="16" t="s">
        <v>26</v>
      </c>
      <c r="I103" s="17" t="s">
        <v>63</v>
      </c>
      <c r="J103" s="17" t="s">
        <v>64</v>
      </c>
      <c r="K103" s="17" t="s">
        <v>64</v>
      </c>
      <c r="L103" s="16" t="s">
        <v>28</v>
      </c>
      <c r="M103" s="16" t="s">
        <v>75</v>
      </c>
      <c r="N103" s="16" t="s">
        <v>349</v>
      </c>
    </row>
    <row r="104" ht="15.75" customHeight="1">
      <c r="A104" s="13" t="s">
        <v>7</v>
      </c>
      <c r="B104" s="13" t="s">
        <v>21</v>
      </c>
      <c r="C104" s="14">
        <v>2003.0</v>
      </c>
      <c r="D104" s="15" t="s">
        <v>350</v>
      </c>
      <c r="E104" s="15" t="s">
        <v>351</v>
      </c>
      <c r="F104" s="16" t="s">
        <v>33</v>
      </c>
      <c r="G104" s="16" t="s">
        <v>43</v>
      </c>
      <c r="H104" s="16" t="s">
        <v>26</v>
      </c>
      <c r="I104" s="17" t="s">
        <v>87</v>
      </c>
      <c r="J104" s="17" t="s">
        <v>112</v>
      </c>
      <c r="K104" s="17" t="s">
        <v>112</v>
      </c>
      <c r="L104" s="16" t="s">
        <v>28</v>
      </c>
      <c r="M104" s="16" t="s">
        <v>29</v>
      </c>
      <c r="N104" s="16" t="s">
        <v>352</v>
      </c>
    </row>
    <row r="105" ht="15.75" customHeight="1">
      <c r="A105" s="13" t="s">
        <v>7</v>
      </c>
      <c r="B105" s="13" t="s">
        <v>21</v>
      </c>
      <c r="C105" s="14">
        <v>2003.0</v>
      </c>
      <c r="D105" s="15" t="s">
        <v>353</v>
      </c>
      <c r="E105" s="15" t="s">
        <v>354</v>
      </c>
      <c r="F105" s="16" t="s">
        <v>24</v>
      </c>
      <c r="G105" s="16" t="s">
        <v>25</v>
      </c>
      <c r="H105" s="16" t="s">
        <v>26</v>
      </c>
      <c r="I105" s="17" t="s">
        <v>87</v>
      </c>
      <c r="J105" s="17" t="s">
        <v>87</v>
      </c>
      <c r="K105" s="17" t="s">
        <v>87</v>
      </c>
      <c r="L105" s="16" t="s">
        <v>28</v>
      </c>
      <c r="M105" s="16" t="s">
        <v>30</v>
      </c>
      <c r="N105" s="16" t="s">
        <v>355</v>
      </c>
    </row>
    <row r="106" ht="15.75" customHeight="1">
      <c r="A106" s="13" t="s">
        <v>7</v>
      </c>
      <c r="B106" s="13" t="s">
        <v>21</v>
      </c>
      <c r="C106" s="14">
        <v>2003.0</v>
      </c>
      <c r="D106" s="15" t="s">
        <v>356</v>
      </c>
      <c r="E106" s="15" t="s">
        <v>357</v>
      </c>
      <c r="F106" s="16" t="s">
        <v>24</v>
      </c>
      <c r="G106" s="16" t="s">
        <v>25</v>
      </c>
      <c r="H106" s="16" t="s">
        <v>26</v>
      </c>
      <c r="I106" s="17" t="s">
        <v>87</v>
      </c>
      <c r="J106" s="17" t="s">
        <v>87</v>
      </c>
      <c r="K106" s="17" t="s">
        <v>87</v>
      </c>
      <c r="L106" s="16" t="s">
        <v>28</v>
      </c>
      <c r="M106" s="16" t="s">
        <v>29</v>
      </c>
      <c r="N106" s="16" t="s">
        <v>30</v>
      </c>
    </row>
    <row r="107" ht="15.75" customHeight="1">
      <c r="A107" s="13" t="s">
        <v>7</v>
      </c>
      <c r="B107" s="13" t="s">
        <v>21</v>
      </c>
      <c r="C107" s="14">
        <v>2003.0</v>
      </c>
      <c r="D107" s="15" t="s">
        <v>358</v>
      </c>
      <c r="E107" s="15" t="s">
        <v>359</v>
      </c>
      <c r="F107" s="16" t="s">
        <v>33</v>
      </c>
      <c r="G107" s="16" t="s">
        <v>38</v>
      </c>
      <c r="H107" s="16" t="s">
        <v>26</v>
      </c>
      <c r="I107" s="17" t="s">
        <v>87</v>
      </c>
      <c r="J107" s="17" t="s">
        <v>87</v>
      </c>
      <c r="K107" s="17" t="s">
        <v>87</v>
      </c>
      <c r="L107" s="16" t="s">
        <v>28</v>
      </c>
      <c r="M107" s="16" t="s">
        <v>29</v>
      </c>
      <c r="N107" s="16" t="s">
        <v>360</v>
      </c>
    </row>
    <row r="108" ht="15.75" customHeight="1">
      <c r="A108" s="13" t="s">
        <v>7</v>
      </c>
      <c r="B108" s="13" t="s">
        <v>21</v>
      </c>
      <c r="C108" s="14">
        <v>2003.0</v>
      </c>
      <c r="D108" s="15" t="s">
        <v>361</v>
      </c>
      <c r="E108" s="15" t="s">
        <v>362</v>
      </c>
      <c r="F108" s="16" t="s">
        <v>33</v>
      </c>
      <c r="G108" s="16" t="s">
        <v>25</v>
      </c>
      <c r="H108" s="16" t="s">
        <v>26</v>
      </c>
      <c r="I108" s="17" t="s">
        <v>44</v>
      </c>
      <c r="J108" s="17" t="s">
        <v>44</v>
      </c>
      <c r="K108" s="17" t="s">
        <v>44</v>
      </c>
      <c r="L108" s="16" t="s">
        <v>28</v>
      </c>
      <c r="M108" s="16" t="s">
        <v>30</v>
      </c>
      <c r="N108" s="16" t="s">
        <v>30</v>
      </c>
    </row>
    <row r="109" ht="15.75" customHeight="1">
      <c r="A109" s="13" t="s">
        <v>7</v>
      </c>
      <c r="B109" s="13" t="s">
        <v>21</v>
      </c>
      <c r="C109" s="14">
        <v>2003.0</v>
      </c>
      <c r="D109" s="15" t="s">
        <v>363</v>
      </c>
      <c r="E109" s="15" t="s">
        <v>364</v>
      </c>
      <c r="F109" s="16" t="s">
        <v>33</v>
      </c>
      <c r="G109" s="16" t="s">
        <v>25</v>
      </c>
      <c r="H109" s="16" t="s">
        <v>26</v>
      </c>
      <c r="I109" s="17" t="s">
        <v>87</v>
      </c>
      <c r="J109" s="17" t="s">
        <v>87</v>
      </c>
      <c r="K109" s="17" t="s">
        <v>87</v>
      </c>
      <c r="L109" s="16" t="s">
        <v>28</v>
      </c>
      <c r="M109" s="16" t="s">
        <v>70</v>
      </c>
      <c r="N109" s="16" t="s">
        <v>30</v>
      </c>
    </row>
    <row r="110" ht="15.75" customHeight="1">
      <c r="A110" s="13" t="s">
        <v>7</v>
      </c>
      <c r="B110" s="13" t="s">
        <v>21</v>
      </c>
      <c r="C110" s="14">
        <v>2003.0</v>
      </c>
      <c r="D110" s="15" t="s">
        <v>365</v>
      </c>
      <c r="E110" s="15" t="s">
        <v>366</v>
      </c>
      <c r="F110" s="16" t="s">
        <v>24</v>
      </c>
      <c r="G110" s="16" t="s">
        <v>43</v>
      </c>
      <c r="H110" s="16" t="s">
        <v>26</v>
      </c>
      <c r="I110" s="17" t="s">
        <v>44</v>
      </c>
      <c r="J110" s="17" t="s">
        <v>44</v>
      </c>
      <c r="K110" s="17" t="s">
        <v>367</v>
      </c>
      <c r="L110" s="16" t="s">
        <v>28</v>
      </c>
      <c r="M110" s="16" t="s">
        <v>126</v>
      </c>
      <c r="N110" s="16" t="s">
        <v>368</v>
      </c>
    </row>
    <row r="111" ht="15.75" customHeight="1">
      <c r="A111" s="13" t="s">
        <v>7</v>
      </c>
      <c r="B111" s="13" t="s">
        <v>21</v>
      </c>
      <c r="C111" s="14">
        <v>2003.0</v>
      </c>
      <c r="D111" s="15" t="s">
        <v>369</v>
      </c>
      <c r="E111" s="15" t="s">
        <v>370</v>
      </c>
      <c r="F111" s="16" t="s">
        <v>24</v>
      </c>
      <c r="G111" s="16" t="s">
        <v>25</v>
      </c>
      <c r="H111" s="16" t="s">
        <v>26</v>
      </c>
      <c r="I111" s="17" t="s">
        <v>27</v>
      </c>
      <c r="J111" s="17" t="s">
        <v>27</v>
      </c>
      <c r="K111" s="17" t="s">
        <v>27</v>
      </c>
      <c r="L111" s="16" t="s">
        <v>28</v>
      </c>
      <c r="M111" s="16" t="s">
        <v>30</v>
      </c>
      <c r="N111" s="16" t="s">
        <v>371</v>
      </c>
    </row>
    <row r="112" ht="15.75" customHeight="1">
      <c r="A112" s="13" t="s">
        <v>7</v>
      </c>
      <c r="B112" s="13" t="s">
        <v>21</v>
      </c>
      <c r="C112" s="14">
        <v>2003.0</v>
      </c>
      <c r="D112" s="15" t="s">
        <v>372</v>
      </c>
      <c r="E112" s="15" t="s">
        <v>373</v>
      </c>
      <c r="F112" s="16" t="s">
        <v>24</v>
      </c>
      <c r="G112" s="16" t="s">
        <v>43</v>
      </c>
      <c r="H112" s="16" t="s">
        <v>26</v>
      </c>
      <c r="I112" s="17" t="s">
        <v>34</v>
      </c>
      <c r="J112" s="17" t="s">
        <v>374</v>
      </c>
      <c r="K112" s="17" t="s">
        <v>374</v>
      </c>
      <c r="L112" s="16" t="s">
        <v>28</v>
      </c>
      <c r="M112" s="16" t="s">
        <v>30</v>
      </c>
      <c r="N112" s="16" t="s">
        <v>375</v>
      </c>
    </row>
    <row r="113" ht="15.75" customHeight="1">
      <c r="A113" s="13" t="s">
        <v>7</v>
      </c>
      <c r="B113" s="13" t="s">
        <v>21</v>
      </c>
      <c r="C113" s="14">
        <v>2003.0</v>
      </c>
      <c r="D113" s="15" t="s">
        <v>376</v>
      </c>
      <c r="E113" s="15" t="s">
        <v>377</v>
      </c>
      <c r="F113" s="16" t="s">
        <v>33</v>
      </c>
      <c r="G113" s="16" t="s">
        <v>43</v>
      </c>
      <c r="H113" s="16" t="s">
        <v>26</v>
      </c>
      <c r="I113" s="17" t="s">
        <v>308</v>
      </c>
      <c r="J113" s="17" t="s">
        <v>308</v>
      </c>
      <c r="K113" s="17" t="s">
        <v>308</v>
      </c>
      <c r="L113" s="16" t="s">
        <v>28</v>
      </c>
      <c r="M113" s="16" t="s">
        <v>29</v>
      </c>
      <c r="N113" s="16" t="s">
        <v>378</v>
      </c>
    </row>
    <row r="114" ht="15.75" customHeight="1">
      <c r="A114" s="13" t="s">
        <v>7</v>
      </c>
      <c r="B114" s="13" t="s">
        <v>21</v>
      </c>
      <c r="C114" s="14">
        <v>2003.0</v>
      </c>
      <c r="D114" s="15" t="s">
        <v>379</v>
      </c>
      <c r="E114" s="15" t="s">
        <v>380</v>
      </c>
      <c r="F114" s="16" t="s">
        <v>33</v>
      </c>
      <c r="G114" s="16" t="s">
        <v>38</v>
      </c>
      <c r="H114" s="16" t="s">
        <v>26</v>
      </c>
      <c r="I114" s="17" t="s">
        <v>27</v>
      </c>
      <c r="J114" s="17" t="s">
        <v>27</v>
      </c>
      <c r="K114" s="17" t="s">
        <v>27</v>
      </c>
      <c r="L114" s="16" t="s">
        <v>28</v>
      </c>
      <c r="M114" s="16" t="s">
        <v>30</v>
      </c>
      <c r="N114" s="16" t="s">
        <v>381</v>
      </c>
    </row>
    <row r="115" ht="15.75" customHeight="1">
      <c r="A115" s="13" t="s">
        <v>7</v>
      </c>
      <c r="B115" s="13" t="s">
        <v>21</v>
      </c>
      <c r="C115" s="14">
        <v>2003.0</v>
      </c>
      <c r="D115" s="15" t="s">
        <v>382</v>
      </c>
      <c r="E115" s="15" t="s">
        <v>383</v>
      </c>
      <c r="F115" s="16" t="s">
        <v>33</v>
      </c>
      <c r="G115" s="16" t="s">
        <v>320</v>
      </c>
      <c r="H115" s="16" t="s">
        <v>26</v>
      </c>
      <c r="I115" s="17" t="s">
        <v>87</v>
      </c>
      <c r="J115" s="17" t="s">
        <v>112</v>
      </c>
      <c r="K115" s="17" t="s">
        <v>112</v>
      </c>
      <c r="L115" s="16" t="s">
        <v>28</v>
      </c>
      <c r="M115" s="16" t="s">
        <v>29</v>
      </c>
      <c r="N115" s="16" t="s">
        <v>384</v>
      </c>
    </row>
    <row r="116" ht="15.75" customHeight="1">
      <c r="A116" s="13" t="s">
        <v>7</v>
      </c>
      <c r="B116" s="13" t="s">
        <v>21</v>
      </c>
      <c r="C116" s="14">
        <v>2003.0</v>
      </c>
      <c r="D116" s="15" t="s">
        <v>385</v>
      </c>
      <c r="E116" s="15" t="s">
        <v>386</v>
      </c>
      <c r="F116" s="16" t="s">
        <v>24</v>
      </c>
      <c r="G116" s="16" t="s">
        <v>25</v>
      </c>
      <c r="H116" s="16" t="s">
        <v>26</v>
      </c>
      <c r="I116" s="17" t="s">
        <v>87</v>
      </c>
      <c r="J116" s="17" t="s">
        <v>87</v>
      </c>
      <c r="K116" s="17" t="s">
        <v>87</v>
      </c>
      <c r="L116" s="16" t="s">
        <v>28</v>
      </c>
      <c r="M116" s="16" t="s">
        <v>29</v>
      </c>
      <c r="N116" s="16" t="s">
        <v>30</v>
      </c>
    </row>
    <row r="117" ht="15.75" customHeight="1">
      <c r="A117" s="13" t="s">
        <v>7</v>
      </c>
      <c r="B117" s="13" t="s">
        <v>21</v>
      </c>
      <c r="C117" s="14">
        <v>2003.0</v>
      </c>
      <c r="D117" s="15" t="s">
        <v>387</v>
      </c>
      <c r="E117" s="15" t="s">
        <v>388</v>
      </c>
      <c r="F117" s="16" t="s">
        <v>24</v>
      </c>
      <c r="G117" s="16" t="s">
        <v>43</v>
      </c>
      <c r="H117" s="16" t="s">
        <v>26</v>
      </c>
      <c r="I117" s="17" t="s">
        <v>125</v>
      </c>
      <c r="J117" s="17" t="s">
        <v>125</v>
      </c>
      <c r="K117" s="17" t="s">
        <v>125</v>
      </c>
      <c r="L117" s="16" t="s">
        <v>28</v>
      </c>
      <c r="M117" s="16" t="s">
        <v>29</v>
      </c>
      <c r="N117" s="16" t="s">
        <v>389</v>
      </c>
    </row>
    <row r="118" ht="15.75" customHeight="1">
      <c r="A118" s="13" t="s">
        <v>7</v>
      </c>
      <c r="B118" s="13" t="s">
        <v>21</v>
      </c>
      <c r="C118" s="14">
        <v>2003.0</v>
      </c>
      <c r="D118" s="15" t="s">
        <v>390</v>
      </c>
      <c r="E118" s="15" t="s">
        <v>391</v>
      </c>
      <c r="F118" s="16" t="s">
        <v>24</v>
      </c>
      <c r="G118" s="16" t="s">
        <v>43</v>
      </c>
      <c r="H118" s="16" t="s">
        <v>26</v>
      </c>
      <c r="I118" s="17" t="s">
        <v>63</v>
      </c>
      <c r="J118" s="17" t="s">
        <v>198</v>
      </c>
      <c r="K118" s="17" t="s">
        <v>64</v>
      </c>
      <c r="L118" s="16" t="s">
        <v>28</v>
      </c>
      <c r="M118" s="16" t="s">
        <v>160</v>
      </c>
      <c r="N118" s="16" t="s">
        <v>392</v>
      </c>
    </row>
    <row r="119" ht="15.75" customHeight="1">
      <c r="A119" s="13" t="s">
        <v>7</v>
      </c>
      <c r="B119" s="13" t="s">
        <v>21</v>
      </c>
      <c r="C119" s="14">
        <v>2003.0</v>
      </c>
      <c r="D119" s="15" t="s">
        <v>393</v>
      </c>
      <c r="E119" s="15" t="s">
        <v>394</v>
      </c>
      <c r="F119" s="16" t="s">
        <v>24</v>
      </c>
      <c r="G119" s="16" t="s">
        <v>43</v>
      </c>
      <c r="H119" s="16" t="s">
        <v>26</v>
      </c>
      <c r="I119" s="17" t="s">
        <v>27</v>
      </c>
      <c r="J119" s="17" t="s">
        <v>27</v>
      </c>
      <c r="K119" s="17" t="s">
        <v>27</v>
      </c>
      <c r="L119" s="16" t="s">
        <v>28</v>
      </c>
      <c r="M119" s="16" t="s">
        <v>29</v>
      </c>
      <c r="N119" s="16" t="s">
        <v>395</v>
      </c>
    </row>
    <row r="120" ht="15.75" customHeight="1">
      <c r="A120" s="13" t="s">
        <v>7</v>
      </c>
      <c r="B120" s="13" t="s">
        <v>21</v>
      </c>
      <c r="C120" s="14">
        <v>2003.0</v>
      </c>
      <c r="D120" s="15" t="s">
        <v>396</v>
      </c>
      <c r="E120" s="15" t="s">
        <v>397</v>
      </c>
      <c r="F120" s="16" t="s">
        <v>24</v>
      </c>
      <c r="G120" s="16" t="s">
        <v>43</v>
      </c>
      <c r="H120" s="16" t="s">
        <v>26</v>
      </c>
      <c r="I120" s="17" t="s">
        <v>125</v>
      </c>
      <c r="J120" s="17" t="s">
        <v>398</v>
      </c>
      <c r="K120" s="17" t="s">
        <v>399</v>
      </c>
      <c r="L120" s="16" t="s">
        <v>28</v>
      </c>
      <c r="M120" s="16" t="s">
        <v>282</v>
      </c>
      <c r="N120" s="16" t="s">
        <v>400</v>
      </c>
    </row>
    <row r="121" ht="15.75" customHeight="1">
      <c r="A121" s="13" t="s">
        <v>7</v>
      </c>
      <c r="B121" s="13" t="s">
        <v>21</v>
      </c>
      <c r="C121" s="14">
        <v>2003.0</v>
      </c>
      <c r="D121" s="15" t="s">
        <v>401</v>
      </c>
      <c r="E121" s="15" t="s">
        <v>402</v>
      </c>
      <c r="F121" s="16" t="s">
        <v>33</v>
      </c>
      <c r="G121" s="16" t="s">
        <v>43</v>
      </c>
      <c r="H121" s="16" t="s">
        <v>26</v>
      </c>
      <c r="I121" s="17" t="s">
        <v>34</v>
      </c>
      <c r="J121" s="17" t="s">
        <v>308</v>
      </c>
      <c r="K121" s="17" t="s">
        <v>308</v>
      </c>
      <c r="L121" s="16" t="s">
        <v>28</v>
      </c>
      <c r="M121" s="16" t="s">
        <v>75</v>
      </c>
      <c r="N121" s="16" t="s">
        <v>403</v>
      </c>
    </row>
    <row r="122" ht="15.75" customHeight="1">
      <c r="A122" s="13" t="s">
        <v>7</v>
      </c>
      <c r="B122" s="13" t="s">
        <v>21</v>
      </c>
      <c r="C122" s="14">
        <v>2003.0</v>
      </c>
      <c r="D122" s="15" t="s">
        <v>404</v>
      </c>
      <c r="E122" s="15" t="s">
        <v>405</v>
      </c>
      <c r="F122" s="16" t="s">
        <v>24</v>
      </c>
      <c r="G122" s="16" t="s">
        <v>25</v>
      </c>
      <c r="H122" s="16" t="s">
        <v>26</v>
      </c>
      <c r="I122" s="17" t="s">
        <v>87</v>
      </c>
      <c r="J122" s="17" t="s">
        <v>87</v>
      </c>
      <c r="K122" s="17" t="s">
        <v>87</v>
      </c>
      <c r="L122" s="16" t="s">
        <v>28</v>
      </c>
      <c r="M122" s="16" t="s">
        <v>30</v>
      </c>
      <c r="N122" s="16" t="s">
        <v>30</v>
      </c>
    </row>
    <row r="123" ht="15.75" customHeight="1">
      <c r="A123" s="13" t="s">
        <v>7</v>
      </c>
      <c r="B123" s="13" t="s">
        <v>21</v>
      </c>
      <c r="C123" s="14">
        <v>2003.0</v>
      </c>
      <c r="D123" s="15" t="s">
        <v>406</v>
      </c>
      <c r="E123" s="15" t="s">
        <v>407</v>
      </c>
      <c r="F123" s="16" t="s">
        <v>33</v>
      </c>
      <c r="G123" s="16" t="s">
        <v>43</v>
      </c>
      <c r="H123" s="16" t="s">
        <v>26</v>
      </c>
      <c r="I123" s="17" t="s">
        <v>112</v>
      </c>
      <c r="J123" s="17" t="s">
        <v>112</v>
      </c>
      <c r="K123" s="17" t="s">
        <v>27</v>
      </c>
      <c r="L123" s="16" t="s">
        <v>28</v>
      </c>
      <c r="M123" s="16" t="s">
        <v>30</v>
      </c>
      <c r="N123" s="16" t="s">
        <v>408</v>
      </c>
    </row>
    <row r="124" ht="15.75" customHeight="1">
      <c r="A124" s="13" t="s">
        <v>7</v>
      </c>
      <c r="B124" s="13" t="s">
        <v>21</v>
      </c>
      <c r="C124" s="14">
        <v>2003.0</v>
      </c>
      <c r="D124" s="15" t="s">
        <v>409</v>
      </c>
      <c r="E124" s="15" t="s">
        <v>410</v>
      </c>
      <c r="F124" s="16" t="s">
        <v>24</v>
      </c>
      <c r="G124" s="16" t="s">
        <v>25</v>
      </c>
      <c r="H124" s="16" t="s">
        <v>26</v>
      </c>
      <c r="I124" s="17" t="s">
        <v>44</v>
      </c>
      <c r="J124" s="17" t="s">
        <v>44</v>
      </c>
      <c r="K124" s="17" t="s">
        <v>44</v>
      </c>
      <c r="L124" s="16" t="s">
        <v>28</v>
      </c>
      <c r="M124" s="16" t="s">
        <v>104</v>
      </c>
      <c r="N124" s="16" t="s">
        <v>30</v>
      </c>
    </row>
    <row r="125" ht="15.75" customHeight="1">
      <c r="A125" s="13" t="s">
        <v>7</v>
      </c>
      <c r="B125" s="13" t="s">
        <v>21</v>
      </c>
      <c r="C125" s="14">
        <v>2003.0</v>
      </c>
      <c r="D125" s="15" t="s">
        <v>411</v>
      </c>
      <c r="E125" s="15" t="s">
        <v>412</v>
      </c>
      <c r="F125" s="16" t="s">
        <v>24</v>
      </c>
      <c r="G125" s="16" t="s">
        <v>43</v>
      </c>
      <c r="H125" s="16" t="s">
        <v>26</v>
      </c>
      <c r="I125" s="17" t="s">
        <v>125</v>
      </c>
      <c r="J125" s="17" t="s">
        <v>74</v>
      </c>
      <c r="K125" s="17" t="s">
        <v>74</v>
      </c>
      <c r="L125" s="16" t="s">
        <v>28</v>
      </c>
      <c r="M125" s="16" t="s">
        <v>413</v>
      </c>
      <c r="N125" s="16" t="s">
        <v>414</v>
      </c>
    </row>
    <row r="126" ht="15.75" customHeight="1">
      <c r="A126" s="13" t="s">
        <v>7</v>
      </c>
      <c r="B126" s="13" t="s">
        <v>21</v>
      </c>
      <c r="C126" s="14">
        <v>2003.0</v>
      </c>
      <c r="D126" s="15" t="s">
        <v>415</v>
      </c>
      <c r="E126" s="15" t="s">
        <v>416</v>
      </c>
      <c r="F126" s="16" t="s">
        <v>24</v>
      </c>
      <c r="G126" s="16" t="s">
        <v>25</v>
      </c>
      <c r="H126" s="16" t="s">
        <v>26</v>
      </c>
      <c r="I126" s="17" t="s">
        <v>44</v>
      </c>
      <c r="J126" s="17" t="s">
        <v>44</v>
      </c>
      <c r="K126" s="17" t="s">
        <v>44</v>
      </c>
      <c r="L126" s="16" t="s">
        <v>28</v>
      </c>
      <c r="M126" s="16" t="s">
        <v>30</v>
      </c>
      <c r="N126" s="16" t="s">
        <v>30</v>
      </c>
    </row>
    <row r="127" ht="15.75" customHeight="1">
      <c r="A127" s="13" t="s">
        <v>7</v>
      </c>
      <c r="B127" s="13" t="s">
        <v>21</v>
      </c>
      <c r="C127" s="14">
        <v>2003.0</v>
      </c>
      <c r="D127" s="15" t="s">
        <v>417</v>
      </c>
      <c r="E127" s="15" t="s">
        <v>418</v>
      </c>
      <c r="F127" s="16" t="s">
        <v>24</v>
      </c>
      <c r="G127" s="16" t="s">
        <v>43</v>
      </c>
      <c r="H127" s="16" t="s">
        <v>26</v>
      </c>
      <c r="I127" s="17" t="s">
        <v>308</v>
      </c>
      <c r="J127" s="17" t="s">
        <v>308</v>
      </c>
      <c r="K127" s="17" t="s">
        <v>308</v>
      </c>
      <c r="L127" s="16" t="s">
        <v>28</v>
      </c>
      <c r="M127" s="16" t="s">
        <v>30</v>
      </c>
      <c r="N127" s="16" t="s">
        <v>419</v>
      </c>
    </row>
    <row r="128" ht="15.75" customHeight="1">
      <c r="A128" s="13" t="s">
        <v>7</v>
      </c>
      <c r="B128" s="13" t="s">
        <v>21</v>
      </c>
      <c r="C128" s="14">
        <v>2003.0</v>
      </c>
      <c r="D128" s="15" t="s">
        <v>420</v>
      </c>
      <c r="E128" s="15" t="s">
        <v>421</v>
      </c>
      <c r="F128" s="16" t="s">
        <v>33</v>
      </c>
      <c r="G128" s="16" t="s">
        <v>43</v>
      </c>
      <c r="H128" s="16" t="s">
        <v>26</v>
      </c>
      <c r="I128" s="17" t="s">
        <v>44</v>
      </c>
      <c r="J128" s="17" t="s">
        <v>44</v>
      </c>
      <c r="K128" s="17" t="s">
        <v>69</v>
      </c>
      <c r="L128" s="16" t="s">
        <v>28</v>
      </c>
      <c r="M128" s="16" t="s">
        <v>249</v>
      </c>
      <c r="N128" s="16" t="s">
        <v>422</v>
      </c>
    </row>
    <row r="129" ht="15.75" customHeight="1">
      <c r="A129" s="13" t="s">
        <v>7</v>
      </c>
      <c r="B129" s="13" t="s">
        <v>21</v>
      </c>
      <c r="C129" s="14">
        <v>2003.0</v>
      </c>
      <c r="D129" s="15" t="s">
        <v>423</v>
      </c>
      <c r="E129" s="15" t="s">
        <v>424</v>
      </c>
      <c r="F129" s="16" t="s">
        <v>24</v>
      </c>
      <c r="G129" s="16" t="s">
        <v>38</v>
      </c>
      <c r="H129" s="16" t="s">
        <v>26</v>
      </c>
      <c r="I129" s="17" t="s">
        <v>27</v>
      </c>
      <c r="J129" s="17" t="s">
        <v>27</v>
      </c>
      <c r="K129" s="17" t="s">
        <v>27</v>
      </c>
      <c r="L129" s="16" t="s">
        <v>28</v>
      </c>
      <c r="M129" s="16" t="s">
        <v>30</v>
      </c>
      <c r="N129" s="16" t="s">
        <v>425</v>
      </c>
    </row>
    <row r="130" ht="15.75" customHeight="1">
      <c r="A130" s="13" t="s">
        <v>7</v>
      </c>
      <c r="B130" s="13" t="s">
        <v>21</v>
      </c>
      <c r="C130" s="14">
        <v>2003.0</v>
      </c>
      <c r="D130" s="15" t="s">
        <v>426</v>
      </c>
      <c r="E130" s="15" t="s">
        <v>427</v>
      </c>
      <c r="F130" s="16" t="s">
        <v>33</v>
      </c>
      <c r="G130" s="16" t="s">
        <v>25</v>
      </c>
      <c r="H130" s="16" t="s">
        <v>26</v>
      </c>
      <c r="I130" s="17" t="s">
        <v>27</v>
      </c>
      <c r="J130" s="17" t="s">
        <v>27</v>
      </c>
      <c r="K130" s="17" t="s">
        <v>27</v>
      </c>
      <c r="L130" s="16" t="s">
        <v>28</v>
      </c>
      <c r="M130" s="16" t="s">
        <v>30</v>
      </c>
      <c r="N130" s="16" t="s">
        <v>30</v>
      </c>
    </row>
    <row r="131" ht="15.75" customHeight="1">
      <c r="A131" s="13" t="s">
        <v>7</v>
      </c>
      <c r="B131" s="13" t="s">
        <v>21</v>
      </c>
      <c r="C131" s="14">
        <v>2003.0</v>
      </c>
      <c r="D131" s="15" t="s">
        <v>428</v>
      </c>
      <c r="E131" s="15" t="s">
        <v>429</v>
      </c>
      <c r="F131" s="16" t="s">
        <v>24</v>
      </c>
      <c r="G131" s="16" t="s">
        <v>25</v>
      </c>
      <c r="H131" s="16" t="s">
        <v>26</v>
      </c>
      <c r="I131" s="17" t="s">
        <v>87</v>
      </c>
      <c r="J131" s="17" t="s">
        <v>87</v>
      </c>
      <c r="K131" s="17" t="s">
        <v>87</v>
      </c>
      <c r="L131" s="16" t="s">
        <v>28</v>
      </c>
      <c r="M131" s="16" t="s">
        <v>126</v>
      </c>
      <c r="N131" s="16" t="s">
        <v>30</v>
      </c>
    </row>
    <row r="132" ht="15.75" customHeight="1">
      <c r="A132" s="13" t="s">
        <v>7</v>
      </c>
      <c r="B132" s="13" t="s">
        <v>21</v>
      </c>
      <c r="C132" s="14">
        <v>2003.0</v>
      </c>
      <c r="D132" s="15" t="s">
        <v>430</v>
      </c>
      <c r="E132" s="15" t="s">
        <v>431</v>
      </c>
      <c r="F132" s="16" t="s">
        <v>24</v>
      </c>
      <c r="G132" s="16" t="s">
        <v>38</v>
      </c>
      <c r="H132" s="16" t="s">
        <v>26</v>
      </c>
      <c r="I132" s="17" t="s">
        <v>27</v>
      </c>
      <c r="J132" s="17" t="s">
        <v>27</v>
      </c>
      <c r="K132" s="17" t="s">
        <v>27</v>
      </c>
      <c r="L132" s="16" t="s">
        <v>28</v>
      </c>
      <c r="M132" s="16" t="s">
        <v>30</v>
      </c>
      <c r="N132" s="16" t="s">
        <v>432</v>
      </c>
    </row>
    <row r="133" ht="15.75" customHeight="1">
      <c r="A133" s="13" t="s">
        <v>7</v>
      </c>
      <c r="B133" s="13" t="s">
        <v>21</v>
      </c>
      <c r="C133" s="14">
        <v>2003.0</v>
      </c>
      <c r="D133" s="15" t="s">
        <v>433</v>
      </c>
      <c r="E133" s="15" t="s">
        <v>434</v>
      </c>
      <c r="F133" s="16" t="s">
        <v>33</v>
      </c>
      <c r="G133" s="16" t="s">
        <v>43</v>
      </c>
      <c r="H133" s="16" t="s">
        <v>26</v>
      </c>
      <c r="I133" s="17" t="s">
        <v>87</v>
      </c>
      <c r="J133" s="17" t="s">
        <v>245</v>
      </c>
      <c r="K133" s="17" t="s">
        <v>103</v>
      </c>
      <c r="L133" s="16" t="s">
        <v>28</v>
      </c>
      <c r="M133" s="16" t="s">
        <v>65</v>
      </c>
      <c r="N133" s="16" t="s">
        <v>435</v>
      </c>
    </row>
    <row r="134" ht="15.75" customHeight="1">
      <c r="A134" s="13" t="s">
        <v>7</v>
      </c>
      <c r="B134" s="13" t="s">
        <v>21</v>
      </c>
      <c r="C134" s="14">
        <v>2003.0</v>
      </c>
      <c r="D134" s="15" t="s">
        <v>436</v>
      </c>
      <c r="E134" s="15" t="s">
        <v>437</v>
      </c>
      <c r="F134" s="16" t="s">
        <v>24</v>
      </c>
      <c r="G134" s="16" t="s">
        <v>43</v>
      </c>
      <c r="H134" s="16" t="s">
        <v>26</v>
      </c>
      <c r="I134" s="17" t="s">
        <v>44</v>
      </c>
      <c r="J134" s="17" t="s">
        <v>69</v>
      </c>
      <c r="K134" s="17" t="s">
        <v>27</v>
      </c>
      <c r="L134" s="16" t="s">
        <v>28</v>
      </c>
      <c r="M134" s="16" t="s">
        <v>29</v>
      </c>
      <c r="N134" s="16" t="s">
        <v>438</v>
      </c>
    </row>
    <row r="135" ht="15.75" customHeight="1">
      <c r="A135" s="13" t="s">
        <v>7</v>
      </c>
      <c r="B135" s="13" t="s">
        <v>21</v>
      </c>
      <c r="C135" s="14">
        <v>2003.0</v>
      </c>
      <c r="D135" s="15" t="s">
        <v>439</v>
      </c>
      <c r="E135" s="15" t="s">
        <v>440</v>
      </c>
      <c r="F135" s="16" t="s">
        <v>33</v>
      </c>
      <c r="G135" s="16" t="s">
        <v>43</v>
      </c>
      <c r="H135" s="16" t="s">
        <v>26</v>
      </c>
      <c r="I135" s="17" t="s">
        <v>116</v>
      </c>
      <c r="J135" s="17" t="s">
        <v>117</v>
      </c>
      <c r="K135" s="17" t="s">
        <v>117</v>
      </c>
      <c r="L135" s="16" t="s">
        <v>28</v>
      </c>
      <c r="M135" s="16" t="s">
        <v>48</v>
      </c>
      <c r="N135" s="16" t="s">
        <v>441</v>
      </c>
    </row>
    <row r="136" ht="15.75" customHeight="1">
      <c r="A136" s="13" t="s">
        <v>7</v>
      </c>
      <c r="B136" s="13" t="s">
        <v>21</v>
      </c>
      <c r="C136" s="14">
        <v>2003.0</v>
      </c>
      <c r="D136" s="15" t="s">
        <v>442</v>
      </c>
      <c r="E136" s="15" t="s">
        <v>443</v>
      </c>
      <c r="F136" s="16" t="s">
        <v>33</v>
      </c>
      <c r="G136" s="16" t="s">
        <v>43</v>
      </c>
      <c r="H136" s="16" t="s">
        <v>26</v>
      </c>
      <c r="I136" s="17" t="s">
        <v>34</v>
      </c>
      <c r="J136" s="17" t="s">
        <v>34</v>
      </c>
      <c r="K136" s="17" t="s">
        <v>27</v>
      </c>
      <c r="L136" s="16" t="s">
        <v>28</v>
      </c>
      <c r="M136" s="16" t="s">
        <v>29</v>
      </c>
      <c r="N136" s="16" t="s">
        <v>444</v>
      </c>
    </row>
    <row r="137" ht="15.75" customHeight="1">
      <c r="A137" s="13" t="s">
        <v>7</v>
      </c>
      <c r="B137" s="13" t="s">
        <v>21</v>
      </c>
      <c r="C137" s="14">
        <v>2003.0</v>
      </c>
      <c r="D137" s="15" t="s">
        <v>445</v>
      </c>
      <c r="E137" s="15" t="s">
        <v>446</v>
      </c>
      <c r="F137" s="16" t="s">
        <v>33</v>
      </c>
      <c r="G137" s="16" t="s">
        <v>38</v>
      </c>
      <c r="H137" s="16" t="s">
        <v>26</v>
      </c>
      <c r="I137" s="17" t="s">
        <v>27</v>
      </c>
      <c r="J137" s="17" t="s">
        <v>27</v>
      </c>
      <c r="K137" s="17" t="s">
        <v>27</v>
      </c>
      <c r="L137" s="16" t="s">
        <v>28</v>
      </c>
      <c r="M137" s="16" t="s">
        <v>29</v>
      </c>
      <c r="N137" s="16" t="s">
        <v>447</v>
      </c>
    </row>
    <row r="138" ht="15.75" customHeight="1">
      <c r="A138" s="13" t="s">
        <v>7</v>
      </c>
      <c r="B138" s="13" t="s">
        <v>21</v>
      </c>
      <c r="C138" s="14">
        <v>2003.0</v>
      </c>
      <c r="D138" s="15" t="s">
        <v>448</v>
      </c>
      <c r="E138" s="15" t="s">
        <v>449</v>
      </c>
      <c r="F138" s="16" t="s">
        <v>33</v>
      </c>
      <c r="G138" s="16" t="s">
        <v>38</v>
      </c>
      <c r="H138" s="16" t="s">
        <v>26</v>
      </c>
      <c r="I138" s="17" t="s">
        <v>27</v>
      </c>
      <c r="J138" s="17" t="s">
        <v>27</v>
      </c>
      <c r="K138" s="17" t="s">
        <v>27</v>
      </c>
      <c r="L138" s="16" t="s">
        <v>28</v>
      </c>
      <c r="M138" s="16" t="s">
        <v>29</v>
      </c>
      <c r="N138" s="16" t="s">
        <v>450</v>
      </c>
    </row>
    <row r="139" ht="15.75" customHeight="1">
      <c r="A139" s="13" t="s">
        <v>7</v>
      </c>
      <c r="B139" s="13" t="s">
        <v>21</v>
      </c>
      <c r="C139" s="14">
        <v>2003.0</v>
      </c>
      <c r="D139" s="15" t="s">
        <v>451</v>
      </c>
      <c r="E139" s="15" t="s">
        <v>452</v>
      </c>
      <c r="F139" s="16" t="s">
        <v>24</v>
      </c>
      <c r="G139" s="16" t="s">
        <v>38</v>
      </c>
      <c r="H139" s="16" t="s">
        <v>26</v>
      </c>
      <c r="I139" s="17" t="s">
        <v>27</v>
      </c>
      <c r="J139" s="17" t="s">
        <v>27</v>
      </c>
      <c r="K139" s="17" t="s">
        <v>27</v>
      </c>
      <c r="L139" s="16" t="s">
        <v>54</v>
      </c>
      <c r="M139" s="16" t="s">
        <v>59</v>
      </c>
      <c r="N139" s="16" t="s">
        <v>453</v>
      </c>
    </row>
    <row r="140" ht="15.75" customHeight="1">
      <c r="A140" s="13" t="s">
        <v>7</v>
      </c>
      <c r="B140" s="13" t="s">
        <v>21</v>
      </c>
      <c r="C140" s="14">
        <v>2003.0</v>
      </c>
      <c r="D140" s="15" t="s">
        <v>454</v>
      </c>
      <c r="E140" s="15" t="s">
        <v>455</v>
      </c>
      <c r="F140" s="16" t="s">
        <v>33</v>
      </c>
      <c r="G140" s="16" t="s">
        <v>25</v>
      </c>
      <c r="H140" s="16" t="s">
        <v>26</v>
      </c>
      <c r="I140" s="17" t="s">
        <v>87</v>
      </c>
      <c r="J140" s="17" t="s">
        <v>87</v>
      </c>
      <c r="K140" s="17" t="s">
        <v>87</v>
      </c>
      <c r="L140" s="16" t="s">
        <v>28</v>
      </c>
      <c r="M140" s="16" t="s">
        <v>178</v>
      </c>
      <c r="N140" s="16" t="s">
        <v>456</v>
      </c>
    </row>
    <row r="141" ht="15.75" customHeight="1">
      <c r="A141" s="13" t="s">
        <v>7</v>
      </c>
      <c r="B141" s="13" t="s">
        <v>21</v>
      </c>
      <c r="C141" s="14">
        <v>2003.0</v>
      </c>
      <c r="D141" s="15" t="s">
        <v>457</v>
      </c>
      <c r="E141" s="15" t="s">
        <v>458</v>
      </c>
      <c r="F141" s="16" t="s">
        <v>33</v>
      </c>
      <c r="G141" s="16" t="s">
        <v>43</v>
      </c>
      <c r="H141" s="16" t="s">
        <v>26</v>
      </c>
      <c r="I141" s="17" t="s">
        <v>308</v>
      </c>
      <c r="J141" s="17" t="s">
        <v>308</v>
      </c>
      <c r="K141" s="17" t="s">
        <v>308</v>
      </c>
      <c r="L141" s="16" t="s">
        <v>28</v>
      </c>
      <c r="M141" s="16" t="s">
        <v>30</v>
      </c>
      <c r="N141" s="16" t="s">
        <v>459</v>
      </c>
    </row>
    <row r="142" ht="15.75" customHeight="1">
      <c r="A142" s="13" t="s">
        <v>7</v>
      </c>
      <c r="B142" s="13" t="s">
        <v>21</v>
      </c>
      <c r="C142" s="14">
        <v>2003.0</v>
      </c>
      <c r="D142" s="15" t="s">
        <v>460</v>
      </c>
      <c r="E142" s="15" t="s">
        <v>461</v>
      </c>
      <c r="F142" s="16" t="s">
        <v>24</v>
      </c>
      <c r="G142" s="16" t="s">
        <v>320</v>
      </c>
      <c r="H142" s="16" t="s">
        <v>26</v>
      </c>
      <c r="I142" s="17" t="s">
        <v>44</v>
      </c>
      <c r="J142" s="17" t="s">
        <v>102</v>
      </c>
      <c r="K142" s="17" t="s">
        <v>245</v>
      </c>
      <c r="L142" s="16" t="s">
        <v>28</v>
      </c>
      <c r="M142" s="16" t="s">
        <v>211</v>
      </c>
      <c r="N142" s="16" t="s">
        <v>462</v>
      </c>
    </row>
    <row r="143" ht="15.75" customHeight="1">
      <c r="A143" s="13" t="s">
        <v>7</v>
      </c>
      <c r="B143" s="13" t="s">
        <v>21</v>
      </c>
      <c r="C143" s="14">
        <v>2003.0</v>
      </c>
      <c r="D143" s="15" t="s">
        <v>463</v>
      </c>
      <c r="E143" s="15" t="s">
        <v>464</v>
      </c>
      <c r="F143" s="16" t="s">
        <v>33</v>
      </c>
      <c r="G143" s="16" t="s">
        <v>38</v>
      </c>
      <c r="H143" s="16" t="s">
        <v>26</v>
      </c>
      <c r="I143" s="17" t="s">
        <v>34</v>
      </c>
      <c r="J143" s="17" t="s">
        <v>27</v>
      </c>
      <c r="K143" s="17" t="s">
        <v>27</v>
      </c>
      <c r="L143" s="16" t="s">
        <v>54</v>
      </c>
      <c r="M143" s="16" t="s">
        <v>59</v>
      </c>
      <c r="N143" s="16" t="s">
        <v>465</v>
      </c>
    </row>
    <row r="144" ht="15.75" customHeight="1">
      <c r="A144" s="13" t="s">
        <v>7</v>
      </c>
      <c r="B144" s="13" t="s">
        <v>21</v>
      </c>
      <c r="C144" s="14">
        <v>2003.0</v>
      </c>
      <c r="D144" s="15" t="s">
        <v>466</v>
      </c>
      <c r="E144" s="15" t="s">
        <v>467</v>
      </c>
      <c r="F144" s="16" t="s">
        <v>24</v>
      </c>
      <c r="G144" s="16" t="s">
        <v>43</v>
      </c>
      <c r="H144" s="16" t="s">
        <v>26</v>
      </c>
      <c r="I144" s="17" t="s">
        <v>34</v>
      </c>
      <c r="J144" s="17" t="s">
        <v>468</v>
      </c>
      <c r="K144" s="17" t="s">
        <v>468</v>
      </c>
      <c r="L144" s="16" t="s">
        <v>28</v>
      </c>
      <c r="M144" s="16" t="s">
        <v>469</v>
      </c>
      <c r="N144" s="16" t="s">
        <v>470</v>
      </c>
    </row>
    <row r="145" ht="15.75" customHeight="1">
      <c r="A145" s="13" t="s">
        <v>7</v>
      </c>
      <c r="B145" s="13" t="s">
        <v>21</v>
      </c>
      <c r="C145" s="14">
        <v>2003.0</v>
      </c>
      <c r="D145" s="15" t="s">
        <v>471</v>
      </c>
      <c r="E145" s="15" t="s">
        <v>472</v>
      </c>
      <c r="F145" s="16" t="s">
        <v>24</v>
      </c>
      <c r="G145" s="16" t="s">
        <v>320</v>
      </c>
      <c r="H145" s="16" t="s">
        <v>26</v>
      </c>
      <c r="I145" s="17" t="s">
        <v>44</v>
      </c>
      <c r="J145" s="17" t="s">
        <v>258</v>
      </c>
      <c r="K145" s="17" t="s">
        <v>342</v>
      </c>
      <c r="L145" s="16" t="s">
        <v>28</v>
      </c>
      <c r="M145" s="16" t="s">
        <v>469</v>
      </c>
      <c r="N145" s="16" t="s">
        <v>473</v>
      </c>
    </row>
    <row r="146" ht="15.75" customHeight="1">
      <c r="A146" s="13" t="s">
        <v>7</v>
      </c>
      <c r="B146" s="13" t="s">
        <v>21</v>
      </c>
      <c r="C146" s="14">
        <v>2003.0</v>
      </c>
      <c r="D146" s="15" t="s">
        <v>474</v>
      </c>
      <c r="E146" s="15" t="s">
        <v>475</v>
      </c>
      <c r="F146" s="16" t="s">
        <v>24</v>
      </c>
      <c r="G146" s="16" t="s">
        <v>43</v>
      </c>
      <c r="H146" s="16" t="s">
        <v>26</v>
      </c>
      <c r="I146" s="17" t="s">
        <v>87</v>
      </c>
      <c r="J146" s="17" t="s">
        <v>112</v>
      </c>
      <c r="K146" s="17" t="s">
        <v>112</v>
      </c>
      <c r="L146" s="16" t="s">
        <v>28</v>
      </c>
      <c r="M146" s="16" t="s">
        <v>29</v>
      </c>
      <c r="N146" s="16" t="s">
        <v>476</v>
      </c>
    </row>
    <row r="147" ht="15.75" customHeight="1">
      <c r="A147" s="13" t="s">
        <v>7</v>
      </c>
      <c r="B147" s="13" t="s">
        <v>21</v>
      </c>
      <c r="C147" s="14">
        <v>2003.0</v>
      </c>
      <c r="D147" s="15" t="s">
        <v>477</v>
      </c>
      <c r="E147" s="15" t="s">
        <v>478</v>
      </c>
      <c r="F147" s="16" t="s">
        <v>24</v>
      </c>
      <c r="G147" s="16" t="s">
        <v>43</v>
      </c>
      <c r="H147" s="16" t="s">
        <v>26</v>
      </c>
      <c r="I147" s="17" t="s">
        <v>87</v>
      </c>
      <c r="J147" s="17" t="s">
        <v>112</v>
      </c>
      <c r="K147" s="17" t="s">
        <v>27</v>
      </c>
      <c r="L147" s="16" t="s">
        <v>28</v>
      </c>
      <c r="M147" s="16" t="s">
        <v>29</v>
      </c>
      <c r="N147" s="16" t="s">
        <v>479</v>
      </c>
    </row>
    <row r="148" ht="15.75" customHeight="1">
      <c r="A148" s="13" t="s">
        <v>7</v>
      </c>
      <c r="B148" s="13" t="s">
        <v>21</v>
      </c>
      <c r="C148" s="14">
        <v>2003.0</v>
      </c>
      <c r="D148" s="15" t="s">
        <v>480</v>
      </c>
      <c r="E148" s="15" t="s">
        <v>481</v>
      </c>
      <c r="F148" s="16" t="s">
        <v>24</v>
      </c>
      <c r="G148" s="16" t="s">
        <v>43</v>
      </c>
      <c r="H148" s="16" t="s">
        <v>26</v>
      </c>
      <c r="I148" s="17" t="s">
        <v>308</v>
      </c>
      <c r="J148" s="17" t="s">
        <v>308</v>
      </c>
      <c r="K148" s="17" t="s">
        <v>308</v>
      </c>
      <c r="L148" s="16" t="s">
        <v>28</v>
      </c>
      <c r="M148" s="16" t="s">
        <v>29</v>
      </c>
      <c r="N148" s="16" t="s">
        <v>482</v>
      </c>
    </row>
    <row r="149" ht="15.75" customHeight="1">
      <c r="A149" s="13" t="s">
        <v>7</v>
      </c>
      <c r="B149" s="13" t="s">
        <v>21</v>
      </c>
      <c r="C149" s="14">
        <v>2003.0</v>
      </c>
      <c r="D149" s="15" t="s">
        <v>483</v>
      </c>
      <c r="E149" s="15" t="s">
        <v>484</v>
      </c>
      <c r="F149" s="16" t="s">
        <v>24</v>
      </c>
      <c r="G149" s="16" t="s">
        <v>43</v>
      </c>
      <c r="H149" s="16" t="s">
        <v>26</v>
      </c>
      <c r="I149" s="17" t="s">
        <v>87</v>
      </c>
      <c r="J149" s="17" t="s">
        <v>112</v>
      </c>
      <c r="K149" s="17" t="s">
        <v>112</v>
      </c>
      <c r="L149" s="16" t="s">
        <v>28</v>
      </c>
      <c r="M149" s="16" t="s">
        <v>30</v>
      </c>
      <c r="N149" s="16" t="s">
        <v>485</v>
      </c>
    </row>
    <row r="150" ht="15.75" customHeight="1">
      <c r="A150" s="13" t="s">
        <v>7</v>
      </c>
      <c r="B150" s="13" t="s">
        <v>21</v>
      </c>
      <c r="C150" s="14">
        <v>2003.0</v>
      </c>
      <c r="D150" s="15" t="s">
        <v>486</v>
      </c>
      <c r="E150" s="15" t="s">
        <v>487</v>
      </c>
      <c r="F150" s="16" t="s">
        <v>24</v>
      </c>
      <c r="G150" s="16" t="s">
        <v>38</v>
      </c>
      <c r="H150" s="16" t="s">
        <v>26</v>
      </c>
      <c r="I150" s="17" t="s">
        <v>27</v>
      </c>
      <c r="J150" s="17" t="s">
        <v>27</v>
      </c>
      <c r="K150" s="17" t="s">
        <v>27</v>
      </c>
      <c r="L150" s="16" t="s">
        <v>54</v>
      </c>
      <c r="M150" s="16" t="s">
        <v>59</v>
      </c>
      <c r="N150" s="16" t="s">
        <v>488</v>
      </c>
    </row>
    <row r="151" ht="15.75" customHeight="1">
      <c r="A151" s="13" t="s">
        <v>7</v>
      </c>
      <c r="B151" s="13" t="s">
        <v>21</v>
      </c>
      <c r="C151" s="14">
        <v>2003.0</v>
      </c>
      <c r="D151" s="15" t="s">
        <v>489</v>
      </c>
      <c r="E151" s="15" t="s">
        <v>490</v>
      </c>
      <c r="F151" s="16" t="s">
        <v>33</v>
      </c>
      <c r="G151" s="16" t="s">
        <v>43</v>
      </c>
      <c r="H151" s="16" t="s">
        <v>26</v>
      </c>
      <c r="I151" s="17" t="s">
        <v>34</v>
      </c>
      <c r="J151" s="17" t="s">
        <v>491</v>
      </c>
      <c r="K151" s="17" t="s">
        <v>492</v>
      </c>
      <c r="L151" s="16" t="s">
        <v>28</v>
      </c>
      <c r="M151" s="16" t="s">
        <v>118</v>
      </c>
      <c r="N151" s="16" t="s">
        <v>493</v>
      </c>
    </row>
    <row r="152" ht="15.75" customHeight="1">
      <c r="A152" s="13" t="s">
        <v>7</v>
      </c>
      <c r="B152" s="13" t="s">
        <v>21</v>
      </c>
      <c r="C152" s="14">
        <v>2003.0</v>
      </c>
      <c r="D152" s="15" t="s">
        <v>494</v>
      </c>
      <c r="E152" s="15" t="s">
        <v>495</v>
      </c>
      <c r="F152" s="16" t="s">
        <v>24</v>
      </c>
      <c r="G152" s="16" t="s">
        <v>25</v>
      </c>
      <c r="H152" s="16" t="s">
        <v>26</v>
      </c>
      <c r="I152" s="17" t="s">
        <v>27</v>
      </c>
      <c r="J152" s="17" t="s">
        <v>27</v>
      </c>
      <c r="K152" s="17" t="s">
        <v>27</v>
      </c>
      <c r="L152" s="16" t="s">
        <v>28</v>
      </c>
      <c r="M152" s="16" t="s">
        <v>30</v>
      </c>
      <c r="N152" s="16" t="s">
        <v>30</v>
      </c>
    </row>
    <row r="153" ht="15.75" customHeight="1">
      <c r="A153" s="13" t="s">
        <v>7</v>
      </c>
      <c r="B153" s="13" t="s">
        <v>21</v>
      </c>
      <c r="C153" s="14">
        <v>2003.0</v>
      </c>
      <c r="D153" s="15" t="s">
        <v>496</v>
      </c>
      <c r="E153" s="15" t="s">
        <v>497</v>
      </c>
      <c r="F153" s="16" t="s">
        <v>33</v>
      </c>
      <c r="G153" s="16" t="s">
        <v>25</v>
      </c>
      <c r="H153" s="16" t="s">
        <v>26</v>
      </c>
      <c r="I153" s="17" t="s">
        <v>87</v>
      </c>
      <c r="J153" s="17" t="s">
        <v>87</v>
      </c>
      <c r="K153" s="17" t="s">
        <v>87</v>
      </c>
      <c r="L153" s="16" t="s">
        <v>28</v>
      </c>
      <c r="M153" s="16" t="s">
        <v>29</v>
      </c>
      <c r="N153" s="16" t="s">
        <v>498</v>
      </c>
    </row>
    <row r="154" ht="15.75" customHeight="1">
      <c r="A154" s="13" t="s">
        <v>7</v>
      </c>
      <c r="B154" s="13" t="s">
        <v>21</v>
      </c>
      <c r="C154" s="14">
        <v>2003.0</v>
      </c>
      <c r="D154" s="15" t="s">
        <v>499</v>
      </c>
      <c r="E154" s="15" t="s">
        <v>500</v>
      </c>
      <c r="F154" s="16" t="s">
        <v>33</v>
      </c>
      <c r="G154" s="16" t="s">
        <v>25</v>
      </c>
      <c r="H154" s="16" t="s">
        <v>26</v>
      </c>
      <c r="I154" s="17" t="s">
        <v>44</v>
      </c>
      <c r="J154" s="17" t="s">
        <v>44</v>
      </c>
      <c r="K154" s="17" t="s">
        <v>44</v>
      </c>
      <c r="L154" s="16" t="s">
        <v>28</v>
      </c>
      <c r="M154" s="16" t="s">
        <v>30</v>
      </c>
      <c r="N154" s="16" t="s">
        <v>30</v>
      </c>
    </row>
    <row r="155" ht="15.75" customHeight="1">
      <c r="A155" s="13" t="s">
        <v>7</v>
      </c>
      <c r="B155" s="13" t="s">
        <v>21</v>
      </c>
      <c r="C155" s="14">
        <v>2003.0</v>
      </c>
      <c r="D155" s="15" t="s">
        <v>501</v>
      </c>
      <c r="E155" s="15" t="s">
        <v>502</v>
      </c>
      <c r="F155" s="16" t="s">
        <v>24</v>
      </c>
      <c r="G155" s="16" t="s">
        <v>38</v>
      </c>
      <c r="H155" s="16" t="s">
        <v>26</v>
      </c>
      <c r="I155" s="17" t="s">
        <v>27</v>
      </c>
      <c r="J155" s="17" t="s">
        <v>27</v>
      </c>
      <c r="K155" s="17" t="s">
        <v>27</v>
      </c>
      <c r="L155" s="16" t="s">
        <v>28</v>
      </c>
      <c r="M155" s="16" t="s">
        <v>30</v>
      </c>
      <c r="N155" s="16" t="s">
        <v>503</v>
      </c>
    </row>
    <row r="156" ht="15.75" customHeight="1">
      <c r="A156" s="13" t="s">
        <v>7</v>
      </c>
      <c r="B156" s="13" t="s">
        <v>21</v>
      </c>
      <c r="C156" s="14">
        <v>2003.0</v>
      </c>
      <c r="D156" s="15" t="s">
        <v>504</v>
      </c>
      <c r="E156" s="15" t="s">
        <v>505</v>
      </c>
      <c r="F156" s="16" t="s">
        <v>24</v>
      </c>
      <c r="G156" s="16" t="s">
        <v>25</v>
      </c>
      <c r="H156" s="16" t="s">
        <v>26</v>
      </c>
      <c r="I156" s="17" t="s">
        <v>27</v>
      </c>
      <c r="J156" s="17" t="s">
        <v>27</v>
      </c>
      <c r="K156" s="17" t="s">
        <v>27</v>
      </c>
      <c r="L156" s="16" t="s">
        <v>54</v>
      </c>
      <c r="M156" s="16" t="s">
        <v>506</v>
      </c>
      <c r="N156" s="16" t="s">
        <v>30</v>
      </c>
    </row>
    <row r="157" ht="15.75" customHeight="1">
      <c r="A157" s="13" t="s">
        <v>7</v>
      </c>
      <c r="B157" s="13" t="s">
        <v>21</v>
      </c>
      <c r="C157" s="14">
        <v>2003.0</v>
      </c>
      <c r="D157" s="15" t="s">
        <v>507</v>
      </c>
      <c r="E157" s="15" t="s">
        <v>508</v>
      </c>
      <c r="F157" s="16" t="s">
        <v>24</v>
      </c>
      <c r="G157" s="16" t="s">
        <v>43</v>
      </c>
      <c r="H157" s="16" t="s">
        <v>26</v>
      </c>
      <c r="I157" s="17" t="s">
        <v>34</v>
      </c>
      <c r="J157" s="17" t="s">
        <v>308</v>
      </c>
      <c r="K157" s="17" t="s">
        <v>308</v>
      </c>
      <c r="L157" s="16" t="s">
        <v>28</v>
      </c>
      <c r="M157" s="16" t="s">
        <v>249</v>
      </c>
      <c r="N157" s="16" t="s">
        <v>509</v>
      </c>
    </row>
    <row r="158" ht="15.75" customHeight="1">
      <c r="A158" s="13" t="s">
        <v>7</v>
      </c>
      <c r="B158" s="13" t="s">
        <v>21</v>
      </c>
      <c r="C158" s="14">
        <v>2003.0</v>
      </c>
      <c r="D158" s="15" t="s">
        <v>510</v>
      </c>
      <c r="E158" s="15" t="s">
        <v>511</v>
      </c>
      <c r="F158" s="16" t="s">
        <v>24</v>
      </c>
      <c r="G158" s="16" t="s">
        <v>38</v>
      </c>
      <c r="H158" s="16" t="s">
        <v>26</v>
      </c>
      <c r="I158" s="17" t="s">
        <v>44</v>
      </c>
      <c r="J158" s="17" t="s">
        <v>44</v>
      </c>
      <c r="K158" s="17" t="s">
        <v>44</v>
      </c>
      <c r="L158" s="16" t="s">
        <v>28</v>
      </c>
      <c r="M158" s="16" t="s">
        <v>30</v>
      </c>
      <c r="N158" s="16" t="s">
        <v>512</v>
      </c>
    </row>
    <row r="159" ht="15.75" customHeight="1">
      <c r="A159" s="13" t="s">
        <v>7</v>
      </c>
      <c r="B159" s="13" t="s">
        <v>21</v>
      </c>
      <c r="C159" s="14">
        <v>2003.0</v>
      </c>
      <c r="D159" s="15" t="s">
        <v>513</v>
      </c>
      <c r="E159" s="15" t="s">
        <v>514</v>
      </c>
      <c r="F159" s="16" t="s">
        <v>24</v>
      </c>
      <c r="G159" s="16" t="s">
        <v>38</v>
      </c>
      <c r="H159" s="16" t="s">
        <v>26</v>
      </c>
      <c r="I159" s="17" t="s">
        <v>27</v>
      </c>
      <c r="J159" s="17" t="s">
        <v>27</v>
      </c>
      <c r="K159" s="17" t="s">
        <v>27</v>
      </c>
      <c r="L159" s="16" t="s">
        <v>54</v>
      </c>
      <c r="M159" s="16" t="s">
        <v>59</v>
      </c>
      <c r="N159" s="16" t="s">
        <v>515</v>
      </c>
    </row>
    <row r="160" ht="15.75" customHeight="1">
      <c r="A160" s="13" t="s">
        <v>7</v>
      </c>
      <c r="B160" s="13" t="s">
        <v>21</v>
      </c>
      <c r="C160" s="14">
        <v>2003.0</v>
      </c>
      <c r="D160" s="15" t="s">
        <v>516</v>
      </c>
      <c r="E160" s="15" t="s">
        <v>517</v>
      </c>
      <c r="F160" s="16" t="s">
        <v>33</v>
      </c>
      <c r="G160" s="16" t="s">
        <v>38</v>
      </c>
      <c r="H160" s="16" t="s">
        <v>26</v>
      </c>
      <c r="I160" s="17" t="s">
        <v>87</v>
      </c>
      <c r="J160" s="17" t="s">
        <v>27</v>
      </c>
      <c r="K160" s="17" t="s">
        <v>27</v>
      </c>
      <c r="L160" s="16" t="s">
        <v>28</v>
      </c>
      <c r="M160" s="16" t="s">
        <v>29</v>
      </c>
      <c r="N160" s="16" t="s">
        <v>518</v>
      </c>
    </row>
    <row r="161" ht="15.75" customHeight="1">
      <c r="A161" s="13" t="s">
        <v>7</v>
      </c>
      <c r="B161" s="13" t="s">
        <v>21</v>
      </c>
      <c r="C161" s="14">
        <v>2003.0</v>
      </c>
      <c r="D161" s="15" t="s">
        <v>519</v>
      </c>
      <c r="E161" s="15" t="s">
        <v>520</v>
      </c>
      <c r="F161" s="16" t="s">
        <v>24</v>
      </c>
      <c r="G161" s="16" t="s">
        <v>38</v>
      </c>
      <c r="H161" s="16" t="s">
        <v>26</v>
      </c>
      <c r="I161" s="17" t="s">
        <v>44</v>
      </c>
      <c r="J161" s="17" t="s">
        <v>44</v>
      </c>
      <c r="K161" s="17" t="s">
        <v>44</v>
      </c>
      <c r="L161" s="16" t="s">
        <v>28</v>
      </c>
      <c r="M161" s="16" t="s">
        <v>30</v>
      </c>
      <c r="N161" s="16" t="s">
        <v>521</v>
      </c>
    </row>
    <row r="162" ht="15.75" customHeight="1">
      <c r="A162" s="13" t="s">
        <v>7</v>
      </c>
      <c r="B162" s="13" t="s">
        <v>21</v>
      </c>
      <c r="C162" s="14">
        <v>2003.0</v>
      </c>
      <c r="D162" s="15" t="s">
        <v>522</v>
      </c>
      <c r="E162" s="15" t="s">
        <v>523</v>
      </c>
      <c r="F162" s="16" t="s">
        <v>33</v>
      </c>
      <c r="G162" s="16" t="s">
        <v>43</v>
      </c>
      <c r="H162" s="16" t="s">
        <v>26</v>
      </c>
      <c r="I162" s="17" t="s">
        <v>87</v>
      </c>
      <c r="J162" s="17" t="s">
        <v>27</v>
      </c>
      <c r="K162" s="17" t="s">
        <v>27</v>
      </c>
      <c r="L162" s="16" t="s">
        <v>28</v>
      </c>
      <c r="M162" s="16" t="s">
        <v>249</v>
      </c>
      <c r="N162" s="16" t="s">
        <v>524</v>
      </c>
    </row>
    <row r="163" ht="15.75" customHeight="1">
      <c r="A163" s="13" t="s">
        <v>7</v>
      </c>
      <c r="B163" s="13" t="s">
        <v>21</v>
      </c>
      <c r="C163" s="14">
        <v>2003.0</v>
      </c>
      <c r="D163" s="15" t="s">
        <v>525</v>
      </c>
      <c r="E163" s="15" t="s">
        <v>526</v>
      </c>
      <c r="F163" s="16" t="s">
        <v>33</v>
      </c>
      <c r="G163" s="16" t="s">
        <v>43</v>
      </c>
      <c r="H163" s="16" t="s">
        <v>26</v>
      </c>
      <c r="I163" s="17" t="s">
        <v>87</v>
      </c>
      <c r="J163" s="17" t="s">
        <v>103</v>
      </c>
      <c r="K163" s="17" t="s">
        <v>103</v>
      </c>
      <c r="L163" s="16" t="s">
        <v>28</v>
      </c>
      <c r="M163" s="16" t="s">
        <v>65</v>
      </c>
      <c r="N163" s="16" t="s">
        <v>527</v>
      </c>
    </row>
    <row r="164" ht="15.75" customHeight="1">
      <c r="A164" s="13" t="s">
        <v>7</v>
      </c>
      <c r="B164" s="13" t="s">
        <v>21</v>
      </c>
      <c r="C164" s="14">
        <v>2003.0</v>
      </c>
      <c r="D164" s="15" t="s">
        <v>528</v>
      </c>
      <c r="E164" s="15" t="s">
        <v>529</v>
      </c>
      <c r="F164" s="16" t="s">
        <v>24</v>
      </c>
      <c r="G164" s="16" t="s">
        <v>25</v>
      </c>
      <c r="H164" s="16" t="s">
        <v>26</v>
      </c>
      <c r="I164" s="17" t="s">
        <v>27</v>
      </c>
      <c r="J164" s="17" t="s">
        <v>27</v>
      </c>
      <c r="K164" s="17" t="s">
        <v>27</v>
      </c>
      <c r="L164" s="16" t="s">
        <v>28</v>
      </c>
      <c r="M164" s="16" t="s">
        <v>30</v>
      </c>
      <c r="N164" s="16" t="s">
        <v>530</v>
      </c>
    </row>
    <row r="165" ht="15.75" customHeight="1">
      <c r="A165" s="13" t="s">
        <v>7</v>
      </c>
      <c r="B165" s="13" t="s">
        <v>21</v>
      </c>
      <c r="C165" s="14">
        <v>2003.0</v>
      </c>
      <c r="D165" s="15" t="s">
        <v>531</v>
      </c>
      <c r="E165" s="15" t="s">
        <v>532</v>
      </c>
      <c r="F165" s="16" t="s">
        <v>24</v>
      </c>
      <c r="G165" s="16" t="s">
        <v>43</v>
      </c>
      <c r="H165" s="16" t="s">
        <v>26</v>
      </c>
      <c r="I165" s="17" t="s">
        <v>34</v>
      </c>
      <c r="J165" s="17" t="s">
        <v>468</v>
      </c>
      <c r="K165" s="17" t="s">
        <v>259</v>
      </c>
      <c r="L165" s="16" t="s">
        <v>28</v>
      </c>
      <c r="M165" s="16" t="s">
        <v>413</v>
      </c>
      <c r="N165" s="16" t="s">
        <v>533</v>
      </c>
    </row>
    <row r="166" ht="15.75" customHeight="1">
      <c r="A166" s="13" t="s">
        <v>7</v>
      </c>
      <c r="B166" s="13" t="s">
        <v>21</v>
      </c>
      <c r="C166" s="14">
        <v>2003.0</v>
      </c>
      <c r="D166" s="15" t="s">
        <v>534</v>
      </c>
      <c r="E166" s="15" t="s">
        <v>535</v>
      </c>
      <c r="F166" s="16" t="s">
        <v>24</v>
      </c>
      <c r="G166" s="16" t="s">
        <v>38</v>
      </c>
      <c r="H166" s="16" t="s">
        <v>26</v>
      </c>
      <c r="I166" s="17" t="s">
        <v>44</v>
      </c>
      <c r="J166" s="17" t="s">
        <v>44</v>
      </c>
      <c r="K166" s="17" t="s">
        <v>44</v>
      </c>
      <c r="L166" s="16" t="s">
        <v>28</v>
      </c>
      <c r="M166" s="16" t="s">
        <v>30</v>
      </c>
      <c r="N166" s="16" t="s">
        <v>536</v>
      </c>
    </row>
    <row r="167" ht="15.75" customHeight="1">
      <c r="A167" s="13" t="s">
        <v>7</v>
      </c>
      <c r="B167" s="13" t="s">
        <v>21</v>
      </c>
      <c r="C167" s="14">
        <v>2003.0</v>
      </c>
      <c r="D167" s="15" t="s">
        <v>537</v>
      </c>
      <c r="E167" s="15" t="s">
        <v>538</v>
      </c>
      <c r="F167" s="16" t="s">
        <v>24</v>
      </c>
      <c r="G167" s="16" t="s">
        <v>43</v>
      </c>
      <c r="H167" s="16" t="s">
        <v>26</v>
      </c>
      <c r="I167" s="17" t="s">
        <v>87</v>
      </c>
      <c r="J167" s="17" t="s">
        <v>112</v>
      </c>
      <c r="K167" s="17" t="s">
        <v>27</v>
      </c>
      <c r="L167" s="16" t="s">
        <v>28</v>
      </c>
      <c r="M167" s="16" t="s">
        <v>211</v>
      </c>
      <c r="N167" s="16" t="s">
        <v>539</v>
      </c>
    </row>
    <row r="168" ht="15.75" customHeight="1">
      <c r="A168" s="13" t="s">
        <v>7</v>
      </c>
      <c r="B168" s="13" t="s">
        <v>21</v>
      </c>
      <c r="C168" s="14">
        <v>2003.0</v>
      </c>
      <c r="D168" s="15" t="s">
        <v>540</v>
      </c>
      <c r="E168" s="15" t="s">
        <v>541</v>
      </c>
      <c r="F168" s="16" t="s">
        <v>24</v>
      </c>
      <c r="G168" s="16" t="s">
        <v>38</v>
      </c>
      <c r="H168" s="16" t="s">
        <v>26</v>
      </c>
      <c r="I168" s="17" t="s">
        <v>27</v>
      </c>
      <c r="J168" s="17" t="s">
        <v>27</v>
      </c>
      <c r="K168" s="17" t="s">
        <v>542</v>
      </c>
      <c r="L168" s="16" t="s">
        <v>28</v>
      </c>
      <c r="M168" s="16" t="s">
        <v>469</v>
      </c>
      <c r="N168" s="16" t="s">
        <v>543</v>
      </c>
    </row>
    <row r="169" ht="15.75" customHeight="1">
      <c r="A169" s="13" t="s">
        <v>7</v>
      </c>
      <c r="B169" s="13" t="s">
        <v>21</v>
      </c>
      <c r="C169" s="14">
        <v>2003.0</v>
      </c>
      <c r="D169" s="15" t="s">
        <v>544</v>
      </c>
      <c r="E169" s="15" t="s">
        <v>545</v>
      </c>
      <c r="F169" s="16" t="s">
        <v>24</v>
      </c>
      <c r="G169" s="16" t="s">
        <v>43</v>
      </c>
      <c r="H169" s="16" t="s">
        <v>26</v>
      </c>
      <c r="I169" s="17" t="s">
        <v>27</v>
      </c>
      <c r="J169" s="17" t="s">
        <v>27</v>
      </c>
      <c r="K169" s="17" t="s">
        <v>27</v>
      </c>
      <c r="L169" s="16" t="s">
        <v>28</v>
      </c>
      <c r="M169" s="16" t="s">
        <v>29</v>
      </c>
      <c r="N169" s="16" t="s">
        <v>546</v>
      </c>
    </row>
    <row r="170" ht="15.75" customHeight="1">
      <c r="A170" s="13" t="s">
        <v>7</v>
      </c>
      <c r="B170" s="13" t="s">
        <v>21</v>
      </c>
      <c r="C170" s="14">
        <v>2003.0</v>
      </c>
      <c r="D170" s="15" t="s">
        <v>547</v>
      </c>
      <c r="E170" s="15" t="s">
        <v>548</v>
      </c>
      <c r="F170" s="16" t="s">
        <v>24</v>
      </c>
      <c r="G170" s="16" t="s">
        <v>38</v>
      </c>
      <c r="H170" s="16" t="s">
        <v>26</v>
      </c>
      <c r="I170" s="17" t="s">
        <v>27</v>
      </c>
      <c r="J170" s="17" t="s">
        <v>27</v>
      </c>
      <c r="K170" s="17" t="s">
        <v>27</v>
      </c>
      <c r="L170" s="16" t="s">
        <v>54</v>
      </c>
      <c r="M170" s="16" t="s">
        <v>30</v>
      </c>
      <c r="N170" s="16" t="s">
        <v>549</v>
      </c>
    </row>
    <row r="171" ht="15.75" customHeight="1">
      <c r="A171" s="13" t="s">
        <v>7</v>
      </c>
      <c r="B171" s="13" t="s">
        <v>21</v>
      </c>
      <c r="C171" s="14">
        <v>2003.0</v>
      </c>
      <c r="D171" s="15" t="s">
        <v>550</v>
      </c>
      <c r="E171" s="15" t="s">
        <v>551</v>
      </c>
      <c r="F171" s="16" t="s">
        <v>24</v>
      </c>
      <c r="G171" s="16" t="s">
        <v>38</v>
      </c>
      <c r="H171" s="16" t="s">
        <v>26</v>
      </c>
      <c r="I171" s="17" t="s">
        <v>27</v>
      </c>
      <c r="J171" s="17" t="s">
        <v>27</v>
      </c>
      <c r="K171" s="17" t="s">
        <v>27</v>
      </c>
      <c r="L171" s="16" t="s">
        <v>54</v>
      </c>
      <c r="M171" s="16" t="s">
        <v>59</v>
      </c>
      <c r="N171" s="16" t="s">
        <v>552</v>
      </c>
    </row>
    <row r="172" ht="15.75" customHeight="1">
      <c r="A172" s="13" t="s">
        <v>7</v>
      </c>
      <c r="B172" s="13" t="s">
        <v>21</v>
      </c>
      <c r="C172" s="14">
        <v>2003.0</v>
      </c>
      <c r="D172" s="15" t="s">
        <v>553</v>
      </c>
      <c r="E172" s="15" t="s">
        <v>554</v>
      </c>
      <c r="F172" s="16" t="s">
        <v>24</v>
      </c>
      <c r="G172" s="16" t="s">
        <v>38</v>
      </c>
      <c r="H172" s="16" t="s">
        <v>26</v>
      </c>
      <c r="I172" s="19" t="s">
        <v>542</v>
      </c>
      <c r="J172" s="19" t="s">
        <v>542</v>
      </c>
      <c r="K172" s="19" t="s">
        <v>542</v>
      </c>
      <c r="L172" s="16" t="s">
        <v>28</v>
      </c>
      <c r="M172" s="16" t="s">
        <v>29</v>
      </c>
      <c r="N172" s="16" t="s">
        <v>555</v>
      </c>
    </row>
    <row r="173" ht="15.75" customHeight="1">
      <c r="A173" s="13" t="s">
        <v>7</v>
      </c>
      <c r="B173" s="13" t="s">
        <v>21</v>
      </c>
      <c r="C173" s="14">
        <v>2003.0</v>
      </c>
      <c r="D173" s="15" t="s">
        <v>556</v>
      </c>
      <c r="E173" s="15" t="s">
        <v>557</v>
      </c>
      <c r="F173" s="16" t="s">
        <v>24</v>
      </c>
      <c r="G173" s="16" t="s">
        <v>38</v>
      </c>
      <c r="H173" s="16" t="s">
        <v>26</v>
      </c>
      <c r="I173" s="17" t="s">
        <v>27</v>
      </c>
      <c r="J173" s="17" t="s">
        <v>27</v>
      </c>
      <c r="K173" s="17" t="s">
        <v>27</v>
      </c>
      <c r="L173" s="16" t="s">
        <v>28</v>
      </c>
      <c r="M173" s="16" t="s">
        <v>29</v>
      </c>
      <c r="N173" s="16" t="s">
        <v>558</v>
      </c>
    </row>
    <row r="174" ht="15.75" customHeight="1">
      <c r="A174" s="13" t="s">
        <v>7</v>
      </c>
      <c r="B174" s="13" t="s">
        <v>21</v>
      </c>
      <c r="C174" s="14">
        <v>2003.0</v>
      </c>
      <c r="D174" s="15" t="s">
        <v>559</v>
      </c>
      <c r="E174" s="15" t="s">
        <v>560</v>
      </c>
      <c r="F174" s="16" t="s">
        <v>24</v>
      </c>
      <c r="G174" s="16" t="s">
        <v>43</v>
      </c>
      <c r="H174" s="16" t="s">
        <v>26</v>
      </c>
      <c r="I174" s="17" t="s">
        <v>367</v>
      </c>
      <c r="J174" s="17" t="s">
        <v>367</v>
      </c>
      <c r="K174" s="17" t="s">
        <v>367</v>
      </c>
      <c r="L174" s="16" t="s">
        <v>28</v>
      </c>
      <c r="M174" s="16" t="s">
        <v>30</v>
      </c>
      <c r="N174" s="16" t="s">
        <v>561</v>
      </c>
    </row>
    <row r="175" ht="15.75" customHeight="1">
      <c r="A175" s="13" t="s">
        <v>7</v>
      </c>
      <c r="B175" s="13" t="s">
        <v>21</v>
      </c>
      <c r="C175" s="14">
        <v>2003.0</v>
      </c>
      <c r="D175" s="15" t="s">
        <v>562</v>
      </c>
      <c r="E175" s="15" t="s">
        <v>563</v>
      </c>
      <c r="F175" s="16" t="s">
        <v>24</v>
      </c>
      <c r="G175" s="16" t="s">
        <v>43</v>
      </c>
      <c r="H175" s="16" t="s">
        <v>26</v>
      </c>
      <c r="I175" s="17" t="s">
        <v>156</v>
      </c>
      <c r="J175" s="17" t="s">
        <v>156</v>
      </c>
      <c r="K175" s="17" t="s">
        <v>156</v>
      </c>
      <c r="L175" s="16" t="s">
        <v>28</v>
      </c>
      <c r="M175" s="16" t="s">
        <v>29</v>
      </c>
      <c r="N175" s="16" t="s">
        <v>564</v>
      </c>
    </row>
    <row r="176" ht="15.75" customHeight="1">
      <c r="A176" s="13" t="s">
        <v>7</v>
      </c>
      <c r="B176" s="13" t="s">
        <v>21</v>
      </c>
      <c r="C176" s="14">
        <v>2003.0</v>
      </c>
      <c r="D176" s="15" t="s">
        <v>565</v>
      </c>
      <c r="E176" s="15" t="s">
        <v>566</v>
      </c>
      <c r="F176" s="16" t="s">
        <v>33</v>
      </c>
      <c r="G176" s="16" t="s">
        <v>25</v>
      </c>
      <c r="H176" s="16" t="s">
        <v>26</v>
      </c>
      <c r="I176" s="17" t="s">
        <v>44</v>
      </c>
      <c r="J176" s="17" t="s">
        <v>44</v>
      </c>
      <c r="K176" s="17" t="s">
        <v>44</v>
      </c>
      <c r="L176" s="16" t="s">
        <v>28</v>
      </c>
      <c r="M176" s="16" t="s">
        <v>30</v>
      </c>
      <c r="N176" s="16" t="s">
        <v>30</v>
      </c>
    </row>
    <row r="177" ht="15.75" customHeight="1">
      <c r="A177" s="13" t="s">
        <v>7</v>
      </c>
      <c r="B177" s="13" t="s">
        <v>21</v>
      </c>
      <c r="C177" s="14">
        <v>2003.0</v>
      </c>
      <c r="D177" s="15" t="s">
        <v>567</v>
      </c>
      <c r="E177" s="15" t="s">
        <v>568</v>
      </c>
      <c r="F177" s="16" t="s">
        <v>24</v>
      </c>
      <c r="G177" s="16" t="s">
        <v>25</v>
      </c>
      <c r="H177" s="16" t="s">
        <v>26</v>
      </c>
      <c r="I177" s="17" t="s">
        <v>125</v>
      </c>
      <c r="J177" s="17" t="s">
        <v>125</v>
      </c>
      <c r="K177" s="17" t="s">
        <v>125</v>
      </c>
      <c r="L177" s="16" t="s">
        <v>28</v>
      </c>
      <c r="M177" s="16" t="s">
        <v>30</v>
      </c>
      <c r="N177" s="16" t="s">
        <v>30</v>
      </c>
    </row>
    <row r="178" ht="15.75" customHeight="1">
      <c r="A178" s="13" t="s">
        <v>7</v>
      </c>
      <c r="B178" s="13" t="s">
        <v>21</v>
      </c>
      <c r="C178" s="14">
        <v>2003.0</v>
      </c>
      <c r="D178" s="15" t="s">
        <v>569</v>
      </c>
      <c r="E178" s="15" t="s">
        <v>570</v>
      </c>
      <c r="F178" s="16" t="s">
        <v>33</v>
      </c>
      <c r="G178" s="16" t="s">
        <v>320</v>
      </c>
      <c r="H178" s="16" t="s">
        <v>26</v>
      </c>
      <c r="I178" s="17" t="s">
        <v>27</v>
      </c>
      <c r="J178" s="17" t="s">
        <v>27</v>
      </c>
      <c r="K178" s="17" t="s">
        <v>27</v>
      </c>
      <c r="L178" s="16" t="s">
        <v>28</v>
      </c>
      <c r="M178" s="16" t="s">
        <v>29</v>
      </c>
      <c r="N178" s="16" t="s">
        <v>571</v>
      </c>
    </row>
    <row r="179" ht="15.75" customHeight="1">
      <c r="A179" s="13" t="s">
        <v>7</v>
      </c>
      <c r="B179" s="13" t="s">
        <v>21</v>
      </c>
      <c r="C179" s="14">
        <v>2003.0</v>
      </c>
      <c r="D179" s="15" t="s">
        <v>572</v>
      </c>
      <c r="E179" s="15" t="s">
        <v>573</v>
      </c>
      <c r="F179" s="16" t="s">
        <v>24</v>
      </c>
      <c r="G179" s="16" t="s">
        <v>25</v>
      </c>
      <c r="H179" s="16" t="s">
        <v>26</v>
      </c>
      <c r="I179" s="17" t="s">
        <v>34</v>
      </c>
      <c r="J179" s="17" t="s">
        <v>34</v>
      </c>
      <c r="K179" s="17" t="s">
        <v>34</v>
      </c>
      <c r="L179" s="16" t="s">
        <v>28</v>
      </c>
      <c r="M179" s="16" t="s">
        <v>30</v>
      </c>
      <c r="N179" s="16" t="s">
        <v>30</v>
      </c>
    </row>
    <row r="180" ht="15.75" customHeight="1">
      <c r="A180" s="13" t="s">
        <v>7</v>
      </c>
      <c r="B180" s="13" t="s">
        <v>21</v>
      </c>
      <c r="C180" s="14">
        <v>2003.0</v>
      </c>
      <c r="D180" s="15" t="s">
        <v>574</v>
      </c>
      <c r="E180" s="15" t="s">
        <v>575</v>
      </c>
      <c r="F180" s="16" t="s">
        <v>24</v>
      </c>
      <c r="G180" s="16" t="s">
        <v>43</v>
      </c>
      <c r="H180" s="16" t="s">
        <v>26</v>
      </c>
      <c r="I180" s="17" t="s">
        <v>34</v>
      </c>
      <c r="J180" s="17" t="s">
        <v>308</v>
      </c>
      <c r="K180" s="17" t="s">
        <v>308</v>
      </c>
      <c r="L180" s="16" t="s">
        <v>28</v>
      </c>
      <c r="M180" s="16" t="s">
        <v>178</v>
      </c>
      <c r="N180" s="16" t="s">
        <v>576</v>
      </c>
    </row>
    <row r="181" ht="15.75" customHeight="1">
      <c r="A181" s="13" t="s">
        <v>7</v>
      </c>
      <c r="B181" s="13" t="s">
        <v>21</v>
      </c>
      <c r="C181" s="14">
        <v>2003.0</v>
      </c>
      <c r="D181" s="15" t="s">
        <v>577</v>
      </c>
      <c r="E181" s="15" t="s">
        <v>578</v>
      </c>
      <c r="F181" s="16" t="s">
        <v>24</v>
      </c>
      <c r="G181" s="16" t="s">
        <v>38</v>
      </c>
      <c r="H181" s="16" t="s">
        <v>26</v>
      </c>
      <c r="I181" s="17" t="s">
        <v>27</v>
      </c>
      <c r="J181" s="17" t="s">
        <v>27</v>
      </c>
      <c r="K181" s="17" t="s">
        <v>27</v>
      </c>
      <c r="L181" s="16" t="s">
        <v>28</v>
      </c>
      <c r="M181" s="16" t="s">
        <v>30</v>
      </c>
      <c r="N181" s="16" t="s">
        <v>579</v>
      </c>
    </row>
    <row r="182" ht="15.75" customHeight="1">
      <c r="A182" s="13" t="s">
        <v>7</v>
      </c>
      <c r="B182" s="13" t="s">
        <v>21</v>
      </c>
      <c r="C182" s="14">
        <v>2003.0</v>
      </c>
      <c r="D182" s="15" t="s">
        <v>580</v>
      </c>
      <c r="E182" s="15" t="s">
        <v>581</v>
      </c>
      <c r="F182" s="16" t="s">
        <v>33</v>
      </c>
      <c r="G182" s="16" t="s">
        <v>43</v>
      </c>
      <c r="H182" s="16" t="s">
        <v>26</v>
      </c>
      <c r="I182" s="17" t="s">
        <v>582</v>
      </c>
      <c r="J182" s="17" t="s">
        <v>582</v>
      </c>
      <c r="K182" s="17" t="s">
        <v>156</v>
      </c>
      <c r="L182" s="16" t="s">
        <v>28</v>
      </c>
      <c r="M182" s="16" t="s">
        <v>413</v>
      </c>
      <c r="N182" s="16" t="s">
        <v>583</v>
      </c>
    </row>
    <row r="183" ht="15.75" customHeight="1">
      <c r="A183" s="13" t="s">
        <v>7</v>
      </c>
      <c r="B183" s="13" t="s">
        <v>21</v>
      </c>
      <c r="C183" s="14">
        <v>2003.0</v>
      </c>
      <c r="D183" s="15" t="s">
        <v>584</v>
      </c>
      <c r="E183" s="15" t="s">
        <v>585</v>
      </c>
      <c r="F183" s="16" t="s">
        <v>33</v>
      </c>
      <c r="G183" s="16" t="s">
        <v>43</v>
      </c>
      <c r="H183" s="16" t="s">
        <v>26</v>
      </c>
      <c r="I183" s="17" t="s">
        <v>112</v>
      </c>
      <c r="J183" s="17" t="s">
        <v>112</v>
      </c>
      <c r="K183" s="17" t="s">
        <v>27</v>
      </c>
      <c r="L183" s="16" t="s">
        <v>28</v>
      </c>
      <c r="M183" s="16" t="s">
        <v>29</v>
      </c>
      <c r="N183" s="16" t="s">
        <v>586</v>
      </c>
    </row>
    <row r="184" ht="15.75" customHeight="1">
      <c r="A184" s="13" t="s">
        <v>7</v>
      </c>
      <c r="B184" s="13" t="s">
        <v>21</v>
      </c>
      <c r="C184" s="14">
        <v>2003.0</v>
      </c>
      <c r="D184" s="15" t="s">
        <v>587</v>
      </c>
      <c r="E184" s="15" t="s">
        <v>588</v>
      </c>
      <c r="F184" s="16" t="s">
        <v>24</v>
      </c>
      <c r="G184" s="16" t="s">
        <v>43</v>
      </c>
      <c r="H184" s="16" t="s">
        <v>26</v>
      </c>
      <c r="I184" s="17" t="s">
        <v>87</v>
      </c>
      <c r="J184" s="17" t="s">
        <v>27</v>
      </c>
      <c r="K184" s="17" t="s">
        <v>27</v>
      </c>
      <c r="L184" s="16" t="s">
        <v>28</v>
      </c>
      <c r="M184" s="16" t="s">
        <v>29</v>
      </c>
      <c r="N184" s="16" t="s">
        <v>589</v>
      </c>
    </row>
    <row r="185" ht="15.75" customHeight="1">
      <c r="A185" s="13" t="s">
        <v>7</v>
      </c>
      <c r="B185" s="13" t="s">
        <v>21</v>
      </c>
      <c r="C185" s="14">
        <v>2003.0</v>
      </c>
      <c r="D185" s="15" t="s">
        <v>590</v>
      </c>
      <c r="E185" s="15" t="s">
        <v>591</v>
      </c>
      <c r="F185" s="16" t="s">
        <v>24</v>
      </c>
      <c r="G185" s="16" t="s">
        <v>43</v>
      </c>
      <c r="H185" s="16" t="s">
        <v>26</v>
      </c>
      <c r="I185" s="17" t="s">
        <v>69</v>
      </c>
      <c r="J185" s="17" t="s">
        <v>69</v>
      </c>
      <c r="K185" s="17" t="s">
        <v>27</v>
      </c>
      <c r="L185" s="16" t="s">
        <v>28</v>
      </c>
      <c r="M185" s="16" t="s">
        <v>592</v>
      </c>
      <c r="N185" s="16" t="s">
        <v>593</v>
      </c>
    </row>
    <row r="186" ht="15.75" customHeight="1">
      <c r="A186" s="13" t="s">
        <v>7</v>
      </c>
      <c r="B186" s="13" t="s">
        <v>21</v>
      </c>
      <c r="C186" s="14">
        <v>2003.0</v>
      </c>
      <c r="D186" s="15" t="s">
        <v>594</v>
      </c>
      <c r="E186" s="15" t="s">
        <v>595</v>
      </c>
      <c r="F186" s="16" t="s">
        <v>24</v>
      </c>
      <c r="G186" s="16" t="s">
        <v>38</v>
      </c>
      <c r="H186" s="16" t="s">
        <v>26</v>
      </c>
      <c r="I186" s="17" t="s">
        <v>44</v>
      </c>
      <c r="J186" s="17" t="s">
        <v>44</v>
      </c>
      <c r="K186" s="17" t="s">
        <v>27</v>
      </c>
      <c r="L186" s="16" t="s">
        <v>28</v>
      </c>
      <c r="M186" s="16" t="s">
        <v>30</v>
      </c>
      <c r="N186" s="16" t="s">
        <v>596</v>
      </c>
    </row>
    <row r="187" ht="15.75" customHeight="1">
      <c r="A187" s="13" t="s">
        <v>7</v>
      </c>
      <c r="B187" s="13" t="s">
        <v>21</v>
      </c>
      <c r="C187" s="14">
        <v>2003.0</v>
      </c>
      <c r="D187" s="15" t="s">
        <v>597</v>
      </c>
      <c r="E187" s="15" t="s">
        <v>598</v>
      </c>
      <c r="F187" s="16" t="s">
        <v>24</v>
      </c>
      <c r="G187" s="16" t="s">
        <v>43</v>
      </c>
      <c r="H187" s="16" t="s">
        <v>26</v>
      </c>
      <c r="I187" s="17" t="s">
        <v>308</v>
      </c>
      <c r="J187" s="17" t="s">
        <v>308</v>
      </c>
      <c r="K187" s="17" t="s">
        <v>308</v>
      </c>
      <c r="L187" s="16" t="s">
        <v>28</v>
      </c>
      <c r="M187" s="16" t="s">
        <v>599</v>
      </c>
      <c r="N187" s="16" t="s">
        <v>600</v>
      </c>
    </row>
    <row r="188" ht="15.75" customHeight="1">
      <c r="A188" s="13" t="s">
        <v>7</v>
      </c>
      <c r="B188" s="13" t="s">
        <v>21</v>
      </c>
      <c r="C188" s="14">
        <v>2003.0</v>
      </c>
      <c r="D188" s="15" t="s">
        <v>601</v>
      </c>
      <c r="E188" s="15" t="s">
        <v>602</v>
      </c>
      <c r="F188" s="16" t="s">
        <v>24</v>
      </c>
      <c r="G188" s="16" t="s">
        <v>25</v>
      </c>
      <c r="H188" s="16" t="s">
        <v>26</v>
      </c>
      <c r="I188" s="17" t="s">
        <v>34</v>
      </c>
      <c r="J188" s="17" t="s">
        <v>34</v>
      </c>
      <c r="K188" s="17" t="s">
        <v>34</v>
      </c>
      <c r="L188" s="16" t="s">
        <v>28</v>
      </c>
      <c r="M188" s="16" t="s">
        <v>30</v>
      </c>
      <c r="N188" s="16" t="s">
        <v>603</v>
      </c>
    </row>
    <row r="189" ht="15.75" customHeight="1">
      <c r="A189" s="13" t="s">
        <v>7</v>
      </c>
      <c r="B189" s="13" t="s">
        <v>21</v>
      </c>
      <c r="C189" s="14">
        <v>2003.0</v>
      </c>
      <c r="D189" s="15" t="s">
        <v>604</v>
      </c>
      <c r="E189" s="15" t="s">
        <v>605</v>
      </c>
      <c r="F189" s="16" t="s">
        <v>24</v>
      </c>
      <c r="G189" s="16" t="s">
        <v>25</v>
      </c>
      <c r="H189" s="16" t="s">
        <v>26</v>
      </c>
      <c r="I189" s="17" t="s">
        <v>87</v>
      </c>
      <c r="J189" s="17" t="s">
        <v>87</v>
      </c>
      <c r="K189" s="17" t="s">
        <v>87</v>
      </c>
      <c r="L189" s="16" t="s">
        <v>28</v>
      </c>
      <c r="M189" s="16" t="s">
        <v>39</v>
      </c>
      <c r="N189" s="16" t="s">
        <v>30</v>
      </c>
    </row>
    <row r="190" ht="15.75" customHeight="1">
      <c r="A190" s="13" t="s">
        <v>7</v>
      </c>
      <c r="B190" s="13" t="s">
        <v>21</v>
      </c>
      <c r="C190" s="14">
        <v>2003.0</v>
      </c>
      <c r="D190" s="15" t="s">
        <v>606</v>
      </c>
      <c r="E190" s="15" t="s">
        <v>607</v>
      </c>
      <c r="F190" s="16" t="s">
        <v>33</v>
      </c>
      <c r="G190" s="16" t="s">
        <v>25</v>
      </c>
      <c r="H190" s="16" t="s">
        <v>26</v>
      </c>
      <c r="I190" s="17" t="s">
        <v>87</v>
      </c>
      <c r="J190" s="17" t="s">
        <v>87</v>
      </c>
      <c r="K190" s="17" t="s">
        <v>87</v>
      </c>
      <c r="L190" s="16" t="s">
        <v>28</v>
      </c>
      <c r="M190" s="16" t="s">
        <v>211</v>
      </c>
      <c r="N190" s="16" t="s">
        <v>608</v>
      </c>
    </row>
    <row r="191" ht="15.75" customHeight="1">
      <c r="A191" s="13" t="s">
        <v>7</v>
      </c>
      <c r="B191" s="13" t="s">
        <v>21</v>
      </c>
      <c r="C191" s="14">
        <v>2003.0</v>
      </c>
      <c r="D191" s="15" t="s">
        <v>609</v>
      </c>
      <c r="E191" s="15" t="s">
        <v>610</v>
      </c>
      <c r="F191" s="16" t="s">
        <v>24</v>
      </c>
      <c r="G191" s="16" t="s">
        <v>43</v>
      </c>
      <c r="H191" s="16" t="s">
        <v>26</v>
      </c>
      <c r="I191" s="17" t="s">
        <v>44</v>
      </c>
      <c r="J191" s="17" t="s">
        <v>69</v>
      </c>
      <c r="K191" s="17" t="s">
        <v>69</v>
      </c>
      <c r="L191" s="16" t="s">
        <v>28</v>
      </c>
      <c r="M191" s="16" t="s">
        <v>611</v>
      </c>
      <c r="N191" s="16" t="s">
        <v>612</v>
      </c>
    </row>
    <row r="192" ht="15.75" customHeight="1">
      <c r="A192" s="13" t="s">
        <v>7</v>
      </c>
      <c r="B192" s="13" t="s">
        <v>21</v>
      </c>
      <c r="C192" s="14">
        <v>2003.0</v>
      </c>
      <c r="D192" s="15" t="s">
        <v>613</v>
      </c>
      <c r="E192" s="15" t="s">
        <v>614</v>
      </c>
      <c r="F192" s="16" t="s">
        <v>33</v>
      </c>
      <c r="G192" s="16" t="s">
        <v>25</v>
      </c>
      <c r="H192" s="16" t="s">
        <v>26</v>
      </c>
      <c r="I192" s="17" t="s">
        <v>34</v>
      </c>
      <c r="J192" s="17" t="s">
        <v>34</v>
      </c>
      <c r="K192" s="17" t="s">
        <v>34</v>
      </c>
      <c r="L192" s="16" t="s">
        <v>28</v>
      </c>
      <c r="M192" s="16" t="s">
        <v>249</v>
      </c>
      <c r="N192" s="16" t="s">
        <v>30</v>
      </c>
    </row>
    <row r="193" ht="15.75" customHeight="1">
      <c r="A193" s="13" t="s">
        <v>7</v>
      </c>
      <c r="B193" s="13" t="s">
        <v>21</v>
      </c>
      <c r="C193" s="14">
        <v>2003.0</v>
      </c>
      <c r="D193" s="15" t="s">
        <v>615</v>
      </c>
      <c r="E193" s="15" t="s">
        <v>616</v>
      </c>
      <c r="F193" s="16" t="s">
        <v>24</v>
      </c>
      <c r="G193" s="16" t="s">
        <v>38</v>
      </c>
      <c r="H193" s="16" t="s">
        <v>26</v>
      </c>
      <c r="I193" s="17" t="s">
        <v>27</v>
      </c>
      <c r="J193" s="17" t="s">
        <v>27</v>
      </c>
      <c r="K193" s="17" t="s">
        <v>27</v>
      </c>
      <c r="L193" s="16" t="s">
        <v>28</v>
      </c>
      <c r="M193" s="16" t="s">
        <v>30</v>
      </c>
      <c r="N193" s="16" t="s">
        <v>617</v>
      </c>
    </row>
    <row r="194" ht="15.75" customHeight="1">
      <c r="A194" s="13" t="s">
        <v>7</v>
      </c>
      <c r="B194" s="13" t="s">
        <v>21</v>
      </c>
      <c r="C194" s="14">
        <v>2003.0</v>
      </c>
      <c r="D194" s="15" t="s">
        <v>618</v>
      </c>
      <c r="E194" s="15" t="s">
        <v>619</v>
      </c>
      <c r="F194" s="16" t="s">
        <v>24</v>
      </c>
      <c r="G194" s="16" t="s">
        <v>43</v>
      </c>
      <c r="H194" s="16" t="s">
        <v>26</v>
      </c>
      <c r="I194" s="17" t="s">
        <v>245</v>
      </c>
      <c r="J194" s="17" t="s">
        <v>27</v>
      </c>
      <c r="K194" s="17" t="s">
        <v>27</v>
      </c>
      <c r="L194" s="16" t="s">
        <v>28</v>
      </c>
      <c r="M194" s="16" t="s">
        <v>249</v>
      </c>
      <c r="N194" s="16" t="s">
        <v>620</v>
      </c>
    </row>
    <row r="195" ht="15.75" customHeight="1">
      <c r="A195" s="13" t="s">
        <v>7</v>
      </c>
      <c r="B195" s="13" t="s">
        <v>21</v>
      </c>
      <c r="C195" s="14">
        <v>2003.0</v>
      </c>
      <c r="D195" s="15" t="s">
        <v>621</v>
      </c>
      <c r="E195" s="15" t="s">
        <v>622</v>
      </c>
      <c r="F195" s="16" t="s">
        <v>24</v>
      </c>
      <c r="G195" s="16" t="s">
        <v>38</v>
      </c>
      <c r="H195" s="16" t="s">
        <v>26</v>
      </c>
      <c r="I195" s="17" t="s">
        <v>27</v>
      </c>
      <c r="J195" s="17" t="s">
        <v>27</v>
      </c>
      <c r="K195" s="17" t="s">
        <v>27</v>
      </c>
      <c r="L195" s="16" t="s">
        <v>54</v>
      </c>
      <c r="M195" s="16" t="s">
        <v>623</v>
      </c>
      <c r="N195" s="16" t="s">
        <v>624</v>
      </c>
    </row>
    <row r="196" ht="15.75" customHeight="1">
      <c r="A196" s="13" t="s">
        <v>7</v>
      </c>
      <c r="B196" s="13" t="s">
        <v>21</v>
      </c>
      <c r="C196" s="14">
        <v>2003.0</v>
      </c>
      <c r="D196" s="15" t="s">
        <v>625</v>
      </c>
      <c r="E196" s="15" t="s">
        <v>626</v>
      </c>
      <c r="F196" s="16" t="s">
        <v>24</v>
      </c>
      <c r="G196" s="16" t="s">
        <v>43</v>
      </c>
      <c r="H196" s="16" t="s">
        <v>26</v>
      </c>
      <c r="I196" s="17" t="s">
        <v>69</v>
      </c>
      <c r="J196" s="17" t="s">
        <v>69</v>
      </c>
      <c r="K196" s="17" t="s">
        <v>69</v>
      </c>
      <c r="L196" s="16" t="s">
        <v>28</v>
      </c>
      <c r="M196" s="16" t="s">
        <v>627</v>
      </c>
      <c r="N196" s="16" t="s">
        <v>628</v>
      </c>
    </row>
    <row r="197" ht="15.75" customHeight="1">
      <c r="A197" s="13" t="s">
        <v>7</v>
      </c>
      <c r="B197" s="13" t="s">
        <v>21</v>
      </c>
      <c r="C197" s="14">
        <v>2003.0</v>
      </c>
      <c r="D197" s="15" t="s">
        <v>629</v>
      </c>
      <c r="E197" s="15" t="s">
        <v>630</v>
      </c>
      <c r="F197" s="16" t="s">
        <v>33</v>
      </c>
      <c r="G197" s="16" t="s">
        <v>38</v>
      </c>
      <c r="H197" s="16" t="s">
        <v>26</v>
      </c>
      <c r="I197" s="17" t="s">
        <v>44</v>
      </c>
      <c r="J197" s="17" t="s">
        <v>44</v>
      </c>
      <c r="K197" s="17" t="s">
        <v>44</v>
      </c>
      <c r="L197" s="16" t="s">
        <v>28</v>
      </c>
      <c r="M197" s="16" t="s">
        <v>30</v>
      </c>
      <c r="N197" s="16" t="s">
        <v>631</v>
      </c>
    </row>
    <row r="198" ht="15.75" customHeight="1">
      <c r="A198" s="13" t="s">
        <v>7</v>
      </c>
      <c r="B198" s="13" t="s">
        <v>21</v>
      </c>
      <c r="C198" s="14">
        <v>2003.0</v>
      </c>
      <c r="D198" s="15" t="s">
        <v>632</v>
      </c>
      <c r="E198" s="15" t="s">
        <v>633</v>
      </c>
      <c r="F198" s="16" t="s">
        <v>24</v>
      </c>
      <c r="G198" s="16" t="s">
        <v>43</v>
      </c>
      <c r="H198" s="16" t="s">
        <v>26</v>
      </c>
      <c r="I198" s="17" t="s">
        <v>44</v>
      </c>
      <c r="J198" s="17" t="s">
        <v>27</v>
      </c>
      <c r="K198" s="17" t="s">
        <v>27</v>
      </c>
      <c r="L198" s="16" t="s">
        <v>28</v>
      </c>
      <c r="M198" s="16" t="s">
        <v>29</v>
      </c>
      <c r="N198" s="16" t="s">
        <v>634</v>
      </c>
    </row>
    <row r="199" ht="15.75" customHeight="1">
      <c r="A199" s="13" t="s">
        <v>7</v>
      </c>
      <c r="B199" s="13" t="s">
        <v>21</v>
      </c>
      <c r="C199" s="14">
        <v>2003.0</v>
      </c>
      <c r="D199" s="15" t="s">
        <v>635</v>
      </c>
      <c r="E199" s="15" t="s">
        <v>636</v>
      </c>
      <c r="F199" s="16" t="s">
        <v>24</v>
      </c>
      <c r="G199" s="16" t="s">
        <v>38</v>
      </c>
      <c r="H199" s="16" t="s">
        <v>26</v>
      </c>
      <c r="I199" s="17" t="s">
        <v>87</v>
      </c>
      <c r="J199" s="17" t="s">
        <v>27</v>
      </c>
      <c r="K199" s="17" t="s">
        <v>27</v>
      </c>
      <c r="L199" s="16" t="s">
        <v>28</v>
      </c>
      <c r="M199" s="16" t="s">
        <v>29</v>
      </c>
      <c r="N199" s="16" t="s">
        <v>637</v>
      </c>
    </row>
    <row r="200" ht="15.75" customHeight="1">
      <c r="A200" s="13" t="s">
        <v>7</v>
      </c>
      <c r="B200" s="13" t="s">
        <v>21</v>
      </c>
      <c r="C200" s="14">
        <v>2003.0</v>
      </c>
      <c r="D200" s="15" t="s">
        <v>638</v>
      </c>
      <c r="E200" s="15" t="s">
        <v>639</v>
      </c>
      <c r="F200" s="16" t="s">
        <v>24</v>
      </c>
      <c r="G200" s="16" t="s">
        <v>640</v>
      </c>
      <c r="H200" s="16" t="s">
        <v>26</v>
      </c>
      <c r="I200" s="17" t="s">
        <v>34</v>
      </c>
      <c r="J200" s="17" t="s">
        <v>27</v>
      </c>
      <c r="K200" s="17" t="s">
        <v>27</v>
      </c>
      <c r="L200" s="16" t="s">
        <v>28</v>
      </c>
      <c r="M200" s="16" t="s">
        <v>249</v>
      </c>
      <c r="N200" s="16" t="s">
        <v>641</v>
      </c>
    </row>
    <row r="201" ht="15.75" customHeight="1">
      <c r="A201" s="13" t="s">
        <v>7</v>
      </c>
      <c r="B201" s="13" t="s">
        <v>21</v>
      </c>
      <c r="C201" s="14">
        <v>2003.0</v>
      </c>
      <c r="D201" s="15" t="s">
        <v>642</v>
      </c>
      <c r="E201" s="15" t="s">
        <v>643</v>
      </c>
      <c r="F201" s="16" t="s">
        <v>24</v>
      </c>
      <c r="G201" s="16" t="s">
        <v>640</v>
      </c>
      <c r="H201" s="16" t="s">
        <v>26</v>
      </c>
      <c r="I201" s="17" t="s">
        <v>116</v>
      </c>
      <c r="J201" s="17" t="s">
        <v>116</v>
      </c>
      <c r="K201" s="17" t="s">
        <v>117</v>
      </c>
      <c r="L201" s="16" t="s">
        <v>28</v>
      </c>
      <c r="M201" s="16" t="s">
        <v>29</v>
      </c>
      <c r="N201" s="16" t="s">
        <v>644</v>
      </c>
    </row>
    <row r="202" ht="15.75" customHeight="1">
      <c r="A202" s="13" t="s">
        <v>7</v>
      </c>
      <c r="B202" s="13" t="s">
        <v>21</v>
      </c>
      <c r="C202" s="14">
        <v>2003.0</v>
      </c>
      <c r="D202" s="15" t="s">
        <v>645</v>
      </c>
      <c r="E202" s="15" t="s">
        <v>646</v>
      </c>
      <c r="F202" s="16" t="s">
        <v>33</v>
      </c>
      <c r="G202" s="16" t="s">
        <v>640</v>
      </c>
      <c r="H202" s="16" t="s">
        <v>26</v>
      </c>
      <c r="I202" s="17" t="s">
        <v>87</v>
      </c>
      <c r="J202" s="17" t="s">
        <v>27</v>
      </c>
      <c r="K202" s="17" t="s">
        <v>27</v>
      </c>
      <c r="L202" s="16" t="s">
        <v>28</v>
      </c>
      <c r="M202" s="16" t="s">
        <v>29</v>
      </c>
      <c r="N202" s="16" t="s">
        <v>647</v>
      </c>
    </row>
    <row r="203" ht="15.75" customHeight="1">
      <c r="A203" s="13" t="s">
        <v>7</v>
      </c>
      <c r="B203" s="13" t="s">
        <v>21</v>
      </c>
      <c r="C203" s="14">
        <v>2003.0</v>
      </c>
      <c r="D203" s="15" t="s">
        <v>648</v>
      </c>
      <c r="E203" s="15" t="s">
        <v>649</v>
      </c>
      <c r="F203" s="16" t="s">
        <v>24</v>
      </c>
      <c r="G203" s="16" t="s">
        <v>640</v>
      </c>
      <c r="H203" s="16" t="s">
        <v>26</v>
      </c>
      <c r="I203" s="17" t="s">
        <v>34</v>
      </c>
      <c r="J203" s="17" t="s">
        <v>491</v>
      </c>
      <c r="K203" s="17" t="s">
        <v>491</v>
      </c>
      <c r="L203" s="16" t="s">
        <v>28</v>
      </c>
      <c r="M203" s="16" t="s">
        <v>211</v>
      </c>
      <c r="N203" s="16" t="s">
        <v>650</v>
      </c>
    </row>
    <row r="204" ht="15.75" customHeight="1">
      <c r="A204" s="13" t="s">
        <v>7</v>
      </c>
      <c r="B204" s="13" t="s">
        <v>21</v>
      </c>
      <c r="C204" s="14">
        <v>2003.0</v>
      </c>
      <c r="D204" s="15" t="s">
        <v>651</v>
      </c>
      <c r="E204" s="15" t="s">
        <v>652</v>
      </c>
      <c r="F204" s="16" t="s">
        <v>33</v>
      </c>
      <c r="G204" s="16" t="s">
        <v>640</v>
      </c>
      <c r="H204" s="16" t="s">
        <v>26</v>
      </c>
      <c r="I204" s="17" t="s">
        <v>34</v>
      </c>
      <c r="J204" s="17" t="s">
        <v>209</v>
      </c>
      <c r="K204" s="17" t="s">
        <v>209</v>
      </c>
      <c r="L204" s="16" t="s">
        <v>28</v>
      </c>
      <c r="M204" s="16" t="s">
        <v>75</v>
      </c>
      <c r="N204" s="16" t="s">
        <v>653</v>
      </c>
    </row>
    <row r="205" ht="15.75" customHeight="1">
      <c r="A205" s="13" t="s">
        <v>7</v>
      </c>
      <c r="B205" s="13" t="s">
        <v>21</v>
      </c>
      <c r="C205" s="14">
        <v>2003.0</v>
      </c>
      <c r="D205" s="15" t="s">
        <v>654</v>
      </c>
      <c r="E205" s="15" t="s">
        <v>655</v>
      </c>
      <c r="F205" s="16" t="s">
        <v>24</v>
      </c>
      <c r="G205" s="16" t="s">
        <v>640</v>
      </c>
      <c r="H205" s="16" t="s">
        <v>26</v>
      </c>
      <c r="I205" s="17" t="s">
        <v>112</v>
      </c>
      <c r="J205" s="17" t="s">
        <v>27</v>
      </c>
      <c r="K205" s="17" t="s">
        <v>27</v>
      </c>
      <c r="L205" s="16" t="s">
        <v>28</v>
      </c>
      <c r="M205" s="16" t="s">
        <v>29</v>
      </c>
      <c r="N205" s="16" t="s">
        <v>656</v>
      </c>
    </row>
    <row r="206" ht="15.75" customHeight="1">
      <c r="A206" s="13" t="s">
        <v>7</v>
      </c>
      <c r="B206" s="13" t="s">
        <v>21</v>
      </c>
      <c r="C206" s="14">
        <v>2003.0</v>
      </c>
      <c r="D206" s="15" t="s">
        <v>657</v>
      </c>
      <c r="E206" s="15" t="s">
        <v>658</v>
      </c>
      <c r="F206" s="16" t="s">
        <v>24</v>
      </c>
      <c r="G206" s="16" t="s">
        <v>640</v>
      </c>
      <c r="H206" s="16" t="s">
        <v>26</v>
      </c>
      <c r="I206" s="16" t="s">
        <v>34</v>
      </c>
      <c r="J206" s="16" t="s">
        <v>34</v>
      </c>
      <c r="K206" s="16" t="s">
        <v>308</v>
      </c>
      <c r="L206" s="16" t="s">
        <v>28</v>
      </c>
      <c r="M206" s="16" t="s">
        <v>188</v>
      </c>
      <c r="N206" s="16" t="s">
        <v>659</v>
      </c>
    </row>
    <row r="207" ht="15.75" customHeight="1">
      <c r="A207" s="13" t="s">
        <v>7</v>
      </c>
      <c r="B207" s="13" t="s">
        <v>21</v>
      </c>
      <c r="C207" s="14">
        <v>2003.0</v>
      </c>
      <c r="D207" s="15" t="s">
        <v>660</v>
      </c>
      <c r="E207" s="15" t="s">
        <v>661</v>
      </c>
      <c r="F207" s="16" t="s">
        <v>24</v>
      </c>
      <c r="G207" s="16" t="s">
        <v>640</v>
      </c>
      <c r="H207" s="16" t="s">
        <v>26</v>
      </c>
      <c r="I207" s="17" t="s">
        <v>44</v>
      </c>
      <c r="J207" s="17" t="s">
        <v>69</v>
      </c>
      <c r="K207" s="17" t="s">
        <v>27</v>
      </c>
      <c r="L207" s="16" t="s">
        <v>28</v>
      </c>
      <c r="M207" s="16" t="s">
        <v>188</v>
      </c>
      <c r="N207" s="16" t="s">
        <v>662</v>
      </c>
    </row>
    <row r="208" ht="15.75" customHeight="1">
      <c r="A208" s="13" t="s">
        <v>7</v>
      </c>
      <c r="B208" s="13" t="s">
        <v>21</v>
      </c>
      <c r="C208" s="14">
        <v>2003.0</v>
      </c>
      <c r="D208" s="15" t="s">
        <v>663</v>
      </c>
      <c r="E208" s="15" t="s">
        <v>664</v>
      </c>
      <c r="F208" s="16" t="s">
        <v>24</v>
      </c>
      <c r="G208" s="16" t="s">
        <v>640</v>
      </c>
      <c r="H208" s="16" t="s">
        <v>26</v>
      </c>
      <c r="I208" s="17" t="s">
        <v>87</v>
      </c>
      <c r="J208" s="17" t="s">
        <v>112</v>
      </c>
      <c r="K208" s="17" t="s">
        <v>112</v>
      </c>
      <c r="L208" s="16" t="s">
        <v>28</v>
      </c>
      <c r="M208" s="16" t="s">
        <v>30</v>
      </c>
      <c r="N208" s="16" t="s">
        <v>665</v>
      </c>
    </row>
    <row r="209" ht="15.75" customHeight="1">
      <c r="A209" s="13" t="s">
        <v>7</v>
      </c>
      <c r="B209" s="13" t="s">
        <v>21</v>
      </c>
      <c r="C209" s="14">
        <v>2003.0</v>
      </c>
      <c r="D209" s="15" t="s">
        <v>666</v>
      </c>
      <c r="E209" s="15" t="s">
        <v>667</v>
      </c>
      <c r="F209" s="16" t="s">
        <v>24</v>
      </c>
      <c r="G209" s="16" t="s">
        <v>640</v>
      </c>
      <c r="H209" s="16" t="s">
        <v>26</v>
      </c>
      <c r="I209" s="17" t="s">
        <v>125</v>
      </c>
      <c r="J209" s="17" t="s">
        <v>74</v>
      </c>
      <c r="K209" s="17" t="s">
        <v>74</v>
      </c>
      <c r="L209" s="16" t="s">
        <v>28</v>
      </c>
      <c r="M209" s="16" t="s">
        <v>39</v>
      </c>
      <c r="N209" s="16" t="s">
        <v>668</v>
      </c>
    </row>
    <row r="210" ht="15.75" customHeight="1">
      <c r="A210" s="13" t="s">
        <v>7</v>
      </c>
      <c r="B210" s="13" t="s">
        <v>21</v>
      </c>
      <c r="C210" s="14">
        <v>2003.0</v>
      </c>
      <c r="D210" s="15" t="s">
        <v>669</v>
      </c>
      <c r="E210" s="15" t="s">
        <v>670</v>
      </c>
      <c r="F210" s="16" t="s">
        <v>33</v>
      </c>
      <c r="G210" s="16" t="s">
        <v>640</v>
      </c>
      <c r="H210" s="16" t="s">
        <v>26</v>
      </c>
      <c r="I210" s="17" t="s">
        <v>87</v>
      </c>
      <c r="J210" s="17" t="s">
        <v>27</v>
      </c>
      <c r="K210" s="17" t="s">
        <v>27</v>
      </c>
      <c r="L210" s="16" t="s">
        <v>28</v>
      </c>
      <c r="M210" s="16" t="s">
        <v>126</v>
      </c>
      <c r="N210" s="16" t="s">
        <v>671</v>
      </c>
    </row>
    <row r="211" ht="15.75" customHeight="1">
      <c r="A211" s="13" t="s">
        <v>7</v>
      </c>
      <c r="B211" s="13" t="s">
        <v>21</v>
      </c>
      <c r="C211" s="14">
        <v>2003.0</v>
      </c>
      <c r="D211" s="15" t="s">
        <v>672</v>
      </c>
      <c r="E211" s="15" t="s">
        <v>673</v>
      </c>
      <c r="F211" s="16" t="s">
        <v>24</v>
      </c>
      <c r="G211" s="16" t="s">
        <v>640</v>
      </c>
      <c r="H211" s="16" t="s">
        <v>26</v>
      </c>
      <c r="I211" s="17" t="s">
        <v>44</v>
      </c>
      <c r="J211" s="17" t="s">
        <v>44</v>
      </c>
      <c r="K211" s="17" t="s">
        <v>44</v>
      </c>
      <c r="L211" s="16" t="s">
        <v>28</v>
      </c>
      <c r="M211" s="16" t="s">
        <v>188</v>
      </c>
      <c r="N211" s="16" t="s">
        <v>674</v>
      </c>
    </row>
    <row r="212" ht="15.75" customHeight="1">
      <c r="A212" s="13" t="s">
        <v>7</v>
      </c>
      <c r="B212" s="13" t="s">
        <v>21</v>
      </c>
      <c r="C212" s="14">
        <v>2003.0</v>
      </c>
      <c r="D212" s="15" t="s">
        <v>675</v>
      </c>
      <c r="E212" s="15" t="s">
        <v>676</v>
      </c>
      <c r="F212" s="16" t="s">
        <v>24</v>
      </c>
      <c r="G212" s="16" t="s">
        <v>640</v>
      </c>
      <c r="H212" s="16" t="s">
        <v>26</v>
      </c>
      <c r="I212" s="17" t="s">
        <v>125</v>
      </c>
      <c r="J212" s="17" t="s">
        <v>125</v>
      </c>
      <c r="K212" s="17" t="s">
        <v>74</v>
      </c>
      <c r="L212" s="16" t="s">
        <v>28</v>
      </c>
      <c r="M212" s="16" t="s">
        <v>211</v>
      </c>
      <c r="N212" s="16" t="s">
        <v>677</v>
      </c>
    </row>
    <row r="213" ht="15.75" customHeight="1">
      <c r="A213" s="13" t="s">
        <v>7</v>
      </c>
      <c r="B213" s="13" t="s">
        <v>21</v>
      </c>
      <c r="C213" s="14">
        <v>2003.0</v>
      </c>
      <c r="D213" s="15" t="s">
        <v>678</v>
      </c>
      <c r="E213" s="15" t="s">
        <v>679</v>
      </c>
      <c r="F213" s="16" t="s">
        <v>33</v>
      </c>
      <c r="G213" s="16" t="s">
        <v>640</v>
      </c>
      <c r="H213" s="16" t="s">
        <v>26</v>
      </c>
      <c r="I213" s="17" t="s">
        <v>44</v>
      </c>
      <c r="J213" s="17" t="s">
        <v>69</v>
      </c>
      <c r="K213" s="17" t="s">
        <v>69</v>
      </c>
      <c r="L213" s="16" t="s">
        <v>28</v>
      </c>
      <c r="M213" s="16" t="s">
        <v>211</v>
      </c>
      <c r="N213" s="16" t="s">
        <v>680</v>
      </c>
    </row>
    <row r="214" ht="15.75" customHeight="1">
      <c r="A214" s="13" t="s">
        <v>7</v>
      </c>
      <c r="B214" s="13" t="s">
        <v>21</v>
      </c>
      <c r="C214" s="14">
        <v>2003.0</v>
      </c>
      <c r="D214" s="15" t="s">
        <v>681</v>
      </c>
      <c r="E214" s="15" t="s">
        <v>682</v>
      </c>
      <c r="F214" s="16" t="s">
        <v>24</v>
      </c>
      <c r="G214" s="16" t="s">
        <v>640</v>
      </c>
      <c r="H214" s="16" t="s">
        <v>26</v>
      </c>
      <c r="I214" s="17" t="s">
        <v>209</v>
      </c>
      <c r="J214" s="17" t="s">
        <v>103</v>
      </c>
      <c r="K214" s="17" t="s">
        <v>103</v>
      </c>
      <c r="L214" s="16" t="s">
        <v>28</v>
      </c>
      <c r="M214" s="16" t="s">
        <v>39</v>
      </c>
      <c r="N214" s="16" t="s">
        <v>683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20" t="s">
        <v>684</v>
      </c>
      <c r="G220" s="21" t="s">
        <v>685</v>
      </c>
      <c r="H220" s="21"/>
      <c r="M220" s="22" t="s">
        <v>686</v>
      </c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2:N2"/>
    <mergeCell ref="A3:N3"/>
    <mergeCell ref="A4:N4"/>
    <mergeCell ref="A5:N5"/>
    <mergeCell ref="A6:N6"/>
    <mergeCell ref="A8:N8"/>
    <mergeCell ref="A220:D220"/>
  </mergeCells>
  <printOptions/>
  <pageMargins bottom="0.7480314960629921" footer="0.0" header="0.0" left="0.1968503937007874" right="0.1968503937007874" top="0.7480314960629921"/>
  <pageSetup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39.38"/>
    <col customWidth="1" min="3" max="3" width="11.0"/>
    <col customWidth="1" min="4" max="4" width="25.75"/>
    <col customWidth="1" min="5" max="5" width="8.0"/>
    <col customWidth="1" min="6" max="6" width="9.88"/>
    <col customWidth="1" min="7" max="7" width="7.88"/>
    <col customWidth="1" min="8" max="8" width="7.25"/>
    <col customWidth="1" min="9" max="9" width="7.88"/>
    <col customWidth="1" min="10" max="10" width="6.38"/>
    <col customWidth="1" min="11" max="13" width="9.25"/>
    <col customWidth="1" min="14" max="18" width="8.63"/>
  </cols>
  <sheetData>
    <row r="1" ht="15.0" customHeight="1">
      <c r="A1" s="1" t="s">
        <v>0</v>
      </c>
      <c r="M1" s="2"/>
      <c r="N1" s="2"/>
      <c r="O1" s="2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3" t="s">
        <v>1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8.75" customHeight="1">
      <c r="A3" s="5" t="s">
        <v>2</v>
      </c>
      <c r="M3" s="6"/>
      <c r="N3" s="6"/>
      <c r="O3" s="6"/>
      <c r="P3" s="6"/>
      <c r="Q3" s="6"/>
      <c r="R3" s="6"/>
      <c r="S3" s="23"/>
      <c r="T3" s="23"/>
      <c r="U3" s="23"/>
      <c r="V3" s="23"/>
      <c r="W3" s="23"/>
      <c r="X3" s="23"/>
      <c r="Y3" s="23"/>
      <c r="Z3" s="23"/>
    </row>
    <row r="4" ht="15.0" customHeight="1">
      <c r="A4" s="1" t="s">
        <v>3</v>
      </c>
      <c r="M4" s="2"/>
      <c r="N4" s="2"/>
      <c r="O4" s="2"/>
      <c r="P4" s="2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0" customHeight="1">
      <c r="A5" s="1" t="s">
        <v>4</v>
      </c>
      <c r="M5" s="2"/>
      <c r="N5" s="2"/>
      <c r="O5" s="2"/>
      <c r="P5" s="2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0" customHeight="1">
      <c r="A6" s="7" t="s">
        <v>687</v>
      </c>
      <c r="M6" s="8"/>
      <c r="N6" s="8"/>
      <c r="O6" s="8"/>
      <c r="P6" s="8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9" t="s">
        <v>688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4" t="s">
        <v>689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0" customHeight="1">
      <c r="A22" s="1"/>
      <c r="B22" s="25"/>
      <c r="C22" s="26"/>
      <c r="D22" s="27"/>
      <c r="E22" s="28"/>
      <c r="F22" s="28"/>
      <c r="G22" s="28"/>
      <c r="H22" s="29"/>
      <c r="I22" s="28"/>
      <c r="J22" s="30"/>
      <c r="K22" s="31"/>
      <c r="L22" s="31"/>
      <c r="M22" s="31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29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29.2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60.75" customHeight="1">
      <c r="A27" s="32" t="s">
        <v>690</v>
      </c>
      <c r="B27" s="32" t="s">
        <v>691</v>
      </c>
      <c r="C27" s="32" t="s">
        <v>692</v>
      </c>
      <c r="D27" s="32" t="s">
        <v>693</v>
      </c>
      <c r="E27" s="32" t="s">
        <v>694</v>
      </c>
      <c r="F27" s="32" t="s">
        <v>695</v>
      </c>
      <c r="G27" s="32" t="s">
        <v>696</v>
      </c>
      <c r="H27" s="32" t="s">
        <v>697</v>
      </c>
      <c r="I27" s="32" t="s">
        <v>698</v>
      </c>
      <c r="J27" s="32" t="s">
        <v>699</v>
      </c>
      <c r="K27" s="32" t="s">
        <v>700</v>
      </c>
      <c r="L27" s="32" t="s">
        <v>701</v>
      </c>
      <c r="M27" s="32" t="s">
        <v>702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3">
        <v>1.0</v>
      </c>
      <c r="B28" s="34" t="s">
        <v>703</v>
      </c>
      <c r="C28" s="34" t="s">
        <v>704</v>
      </c>
      <c r="D28" s="35" t="s">
        <v>705</v>
      </c>
      <c r="E28" s="36">
        <v>69.0</v>
      </c>
      <c r="F28" s="36">
        <v>69.0</v>
      </c>
      <c r="G28" s="36">
        <v>65.0</v>
      </c>
      <c r="H28" s="37">
        <f t="shared" ref="H28:H39" si="1">(G28/F28)*100</f>
        <v>94.20289855</v>
      </c>
      <c r="I28" s="38">
        <v>4.0</v>
      </c>
      <c r="J28" s="39">
        <f t="shared" ref="J28:J39" si="2">(I28/F28)*100</f>
        <v>5.797101449</v>
      </c>
      <c r="K28" s="40">
        <v>14.0</v>
      </c>
      <c r="L28" s="40">
        <v>17.0</v>
      </c>
      <c r="M28" s="40">
        <v>15.0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33">
        <v>2.0</v>
      </c>
      <c r="B29" s="34" t="s">
        <v>706</v>
      </c>
      <c r="C29" s="34" t="s">
        <v>707</v>
      </c>
      <c r="D29" s="41" t="s">
        <v>708</v>
      </c>
      <c r="E29" s="36">
        <v>69.0</v>
      </c>
      <c r="F29" s="36">
        <v>68.0</v>
      </c>
      <c r="G29" s="36">
        <v>67.0</v>
      </c>
      <c r="H29" s="37">
        <f t="shared" si="1"/>
        <v>98.52941176</v>
      </c>
      <c r="I29" s="38">
        <v>2.0</v>
      </c>
      <c r="J29" s="39">
        <f t="shared" si="2"/>
        <v>2.941176471</v>
      </c>
      <c r="K29" s="40">
        <v>16.0</v>
      </c>
      <c r="L29" s="40">
        <v>21.0</v>
      </c>
      <c r="M29" s="40">
        <v>18.0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33">
        <v>3.0</v>
      </c>
      <c r="B30" s="34" t="s">
        <v>709</v>
      </c>
      <c r="C30" s="34" t="s">
        <v>710</v>
      </c>
      <c r="D30" s="35" t="s">
        <v>711</v>
      </c>
      <c r="E30" s="36">
        <v>69.0</v>
      </c>
      <c r="F30" s="36">
        <v>68.0</v>
      </c>
      <c r="G30" s="36">
        <v>67.0</v>
      </c>
      <c r="H30" s="37">
        <f t="shared" si="1"/>
        <v>98.52941176</v>
      </c>
      <c r="I30" s="38">
        <v>1.0</v>
      </c>
      <c r="J30" s="39">
        <f t="shared" si="2"/>
        <v>1.470588235</v>
      </c>
      <c r="K30" s="40">
        <v>12.0</v>
      </c>
      <c r="L30" s="40">
        <v>17.0</v>
      </c>
      <c r="M30" s="40">
        <v>21.0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75" customHeight="1">
      <c r="A31" s="33">
        <v>4.0</v>
      </c>
      <c r="B31" s="34" t="s">
        <v>712</v>
      </c>
      <c r="C31" s="34" t="s">
        <v>713</v>
      </c>
      <c r="D31" s="41" t="s">
        <v>714</v>
      </c>
      <c r="E31" s="36">
        <v>69.0</v>
      </c>
      <c r="F31" s="36">
        <v>68.0</v>
      </c>
      <c r="G31" s="36">
        <v>66.0</v>
      </c>
      <c r="H31" s="37">
        <f t="shared" si="1"/>
        <v>97.05882353</v>
      </c>
      <c r="I31" s="38">
        <v>2.0</v>
      </c>
      <c r="J31" s="39">
        <f t="shared" si="2"/>
        <v>2.941176471</v>
      </c>
      <c r="K31" s="40">
        <v>11.0</v>
      </c>
      <c r="L31" s="40">
        <v>12.0</v>
      </c>
      <c r="M31" s="40">
        <v>31.0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33">
        <v>5.0</v>
      </c>
      <c r="B32" s="34" t="s">
        <v>715</v>
      </c>
      <c r="C32" s="34" t="s">
        <v>716</v>
      </c>
      <c r="D32" s="35" t="s">
        <v>717</v>
      </c>
      <c r="E32" s="36">
        <v>42.0</v>
      </c>
      <c r="F32" s="36">
        <v>41.0</v>
      </c>
      <c r="G32" s="36">
        <v>39.0</v>
      </c>
      <c r="H32" s="37">
        <f t="shared" si="1"/>
        <v>95.12195122</v>
      </c>
      <c r="I32" s="38">
        <v>2.0</v>
      </c>
      <c r="J32" s="39">
        <f t="shared" si="2"/>
        <v>4.87804878</v>
      </c>
      <c r="K32" s="40">
        <v>9.0</v>
      </c>
      <c r="L32" s="40">
        <v>3.0</v>
      </c>
      <c r="M32" s="40">
        <v>27.0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33">
        <v>6.0</v>
      </c>
      <c r="B33" s="34" t="s">
        <v>718</v>
      </c>
      <c r="C33" s="34" t="s">
        <v>719</v>
      </c>
      <c r="D33" s="41" t="s">
        <v>720</v>
      </c>
      <c r="E33" s="36">
        <v>27.0</v>
      </c>
      <c r="F33" s="36">
        <v>27.0</v>
      </c>
      <c r="G33" s="36">
        <v>26.0</v>
      </c>
      <c r="H33" s="37">
        <f t="shared" si="1"/>
        <v>96.2962963</v>
      </c>
      <c r="I33" s="38">
        <v>0.0</v>
      </c>
      <c r="J33" s="39">
        <f t="shared" si="2"/>
        <v>0</v>
      </c>
      <c r="K33" s="40">
        <v>4.0</v>
      </c>
      <c r="L33" s="40">
        <v>8.0</v>
      </c>
      <c r="M33" s="40">
        <v>8.0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33">
        <v>7.0</v>
      </c>
      <c r="B34" s="43" t="s">
        <v>721</v>
      </c>
      <c r="C34" s="43" t="s">
        <v>722</v>
      </c>
      <c r="D34" s="35" t="s">
        <v>723</v>
      </c>
      <c r="E34" s="36">
        <v>69.0</v>
      </c>
      <c r="F34" s="36">
        <v>68.0</v>
      </c>
      <c r="G34" s="36">
        <v>68.0</v>
      </c>
      <c r="H34" s="37">
        <f t="shared" si="1"/>
        <v>100</v>
      </c>
      <c r="I34" s="38">
        <v>0.0</v>
      </c>
      <c r="J34" s="39">
        <f t="shared" si="2"/>
        <v>0</v>
      </c>
      <c r="K34" s="40" t="s">
        <v>724</v>
      </c>
      <c r="L34" s="40" t="s">
        <v>724</v>
      </c>
      <c r="M34" s="40" t="s">
        <v>724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3">
        <v>8.0</v>
      </c>
      <c r="B35" s="43" t="s">
        <v>725</v>
      </c>
      <c r="C35" s="34" t="s">
        <v>726</v>
      </c>
      <c r="D35" s="41" t="s">
        <v>727</v>
      </c>
      <c r="E35" s="36">
        <v>69.0</v>
      </c>
      <c r="F35" s="36">
        <v>68.0</v>
      </c>
      <c r="G35" s="36">
        <v>67.0</v>
      </c>
      <c r="H35" s="37">
        <f t="shared" si="1"/>
        <v>98.52941176</v>
      </c>
      <c r="I35" s="38">
        <v>1.0</v>
      </c>
      <c r="J35" s="39">
        <f t="shared" si="2"/>
        <v>1.470588235</v>
      </c>
      <c r="K35" s="40" t="s">
        <v>724</v>
      </c>
      <c r="L35" s="40" t="s">
        <v>724</v>
      </c>
      <c r="M35" s="40" t="s">
        <v>724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33">
        <v>9.0</v>
      </c>
      <c r="B36" s="43" t="s">
        <v>728</v>
      </c>
      <c r="C36" s="34" t="s">
        <v>729</v>
      </c>
      <c r="D36" s="35" t="s">
        <v>730</v>
      </c>
      <c r="E36" s="36">
        <v>50.0</v>
      </c>
      <c r="F36" s="36">
        <v>50.0</v>
      </c>
      <c r="G36" s="36">
        <v>50.0</v>
      </c>
      <c r="H36" s="37">
        <f t="shared" si="1"/>
        <v>100</v>
      </c>
      <c r="I36" s="38">
        <v>0.0</v>
      </c>
      <c r="J36" s="39">
        <f t="shared" si="2"/>
        <v>0</v>
      </c>
      <c r="K36" s="40" t="s">
        <v>724</v>
      </c>
      <c r="L36" s="40" t="s">
        <v>724</v>
      </c>
      <c r="M36" s="40" t="s">
        <v>724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33">
        <v>10.0</v>
      </c>
      <c r="B37" s="43" t="s">
        <v>731</v>
      </c>
      <c r="C37" s="34" t="s">
        <v>732</v>
      </c>
      <c r="D37" s="41" t="s">
        <v>733</v>
      </c>
      <c r="E37" s="36">
        <v>18.0</v>
      </c>
      <c r="F37" s="36">
        <v>18.0</v>
      </c>
      <c r="G37" s="36">
        <v>18.0</v>
      </c>
      <c r="H37" s="37">
        <f t="shared" si="1"/>
        <v>100</v>
      </c>
      <c r="I37" s="38">
        <v>0.0</v>
      </c>
      <c r="J37" s="39">
        <f t="shared" si="2"/>
        <v>0</v>
      </c>
      <c r="K37" s="40" t="s">
        <v>724</v>
      </c>
      <c r="L37" s="40" t="s">
        <v>724</v>
      </c>
      <c r="M37" s="40" t="s">
        <v>724</v>
      </c>
      <c r="N37" s="44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33">
        <v>11.0</v>
      </c>
      <c r="B38" s="43" t="s">
        <v>734</v>
      </c>
      <c r="C38" s="34" t="s">
        <v>735</v>
      </c>
      <c r="D38" s="35" t="s">
        <v>736</v>
      </c>
      <c r="E38" s="36">
        <v>1.0</v>
      </c>
      <c r="F38" s="36">
        <v>1.0</v>
      </c>
      <c r="G38" s="36">
        <v>1.0</v>
      </c>
      <c r="H38" s="37">
        <f t="shared" si="1"/>
        <v>100</v>
      </c>
      <c r="I38" s="38">
        <v>0.0</v>
      </c>
      <c r="J38" s="39">
        <f t="shared" si="2"/>
        <v>0</v>
      </c>
      <c r="K38" s="40" t="s">
        <v>724</v>
      </c>
      <c r="L38" s="40" t="s">
        <v>724</v>
      </c>
      <c r="M38" s="40" t="s">
        <v>724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33">
        <v>12.0</v>
      </c>
      <c r="B39" s="45" t="s">
        <v>737</v>
      </c>
      <c r="C39" s="46" t="s">
        <v>738</v>
      </c>
      <c r="D39" s="41" t="s">
        <v>739</v>
      </c>
      <c r="E39" s="36">
        <v>69.0</v>
      </c>
      <c r="F39" s="36">
        <v>68.0</v>
      </c>
      <c r="G39" s="36">
        <v>65.0</v>
      </c>
      <c r="H39" s="37">
        <f t="shared" si="1"/>
        <v>95.58823529</v>
      </c>
      <c r="I39" s="38">
        <v>3.0</v>
      </c>
      <c r="J39" s="39">
        <f t="shared" si="2"/>
        <v>4.411764706</v>
      </c>
      <c r="K39" s="40" t="s">
        <v>724</v>
      </c>
      <c r="L39" s="40" t="s">
        <v>724</v>
      </c>
      <c r="M39" s="40" t="s">
        <v>724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47"/>
      <c r="B40" s="48"/>
      <c r="C40" s="49"/>
      <c r="D40" s="50"/>
      <c r="E40" s="51"/>
      <c r="F40" s="51"/>
      <c r="G40" s="51"/>
      <c r="H40" s="52"/>
      <c r="I40" s="53"/>
      <c r="J40" s="54"/>
      <c r="K40" s="55"/>
      <c r="L40" s="55"/>
      <c r="M40" s="55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56"/>
      <c r="B43" s="57" t="s">
        <v>740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56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12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75.75" customHeight="1">
      <c r="A58" s="59" t="s">
        <v>690</v>
      </c>
      <c r="B58" s="60" t="s">
        <v>691</v>
      </c>
      <c r="C58" s="60" t="s">
        <v>692</v>
      </c>
      <c r="D58" s="60" t="s">
        <v>693</v>
      </c>
      <c r="E58" s="60" t="s">
        <v>694</v>
      </c>
      <c r="F58" s="60" t="s">
        <v>695</v>
      </c>
      <c r="G58" s="60" t="s">
        <v>696</v>
      </c>
      <c r="H58" s="61" t="s">
        <v>697</v>
      </c>
      <c r="I58" s="62" t="s">
        <v>698</v>
      </c>
      <c r="J58" s="62" t="s">
        <v>699</v>
      </c>
      <c r="K58" s="63" t="s">
        <v>700</v>
      </c>
      <c r="L58" s="63" t="s">
        <v>701</v>
      </c>
      <c r="M58" s="64" t="s">
        <v>702</v>
      </c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33">
        <v>1.0</v>
      </c>
      <c r="B59" s="34" t="s">
        <v>703</v>
      </c>
      <c r="C59" s="34" t="s">
        <v>704</v>
      </c>
      <c r="D59" s="65" t="s">
        <v>705</v>
      </c>
      <c r="E59" s="66">
        <v>66.0</v>
      </c>
      <c r="F59" s="66">
        <v>66.0</v>
      </c>
      <c r="G59" s="66">
        <v>64.0</v>
      </c>
      <c r="H59" s="67">
        <f t="shared" ref="H59:H70" si="3">(G59/F59)*100</f>
        <v>96.96969697</v>
      </c>
      <c r="I59" s="68">
        <v>2.0</v>
      </c>
      <c r="J59" s="69">
        <f t="shared" ref="J59:J70" si="4">(I59/F59)*100</f>
        <v>3.03030303</v>
      </c>
      <c r="K59" s="40">
        <v>22.0</v>
      </c>
      <c r="L59" s="40">
        <v>11.0</v>
      </c>
      <c r="M59" s="40">
        <v>19.0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33">
        <v>2.0</v>
      </c>
      <c r="B60" s="34" t="s">
        <v>706</v>
      </c>
      <c r="C60" s="34" t="s">
        <v>707</v>
      </c>
      <c r="D60" s="65" t="s">
        <v>708</v>
      </c>
      <c r="E60" s="66">
        <v>66.0</v>
      </c>
      <c r="F60" s="66">
        <v>66.0</v>
      </c>
      <c r="G60" s="66">
        <v>64.0</v>
      </c>
      <c r="H60" s="67">
        <f t="shared" si="3"/>
        <v>96.96969697</v>
      </c>
      <c r="I60" s="68">
        <v>2.0</v>
      </c>
      <c r="J60" s="69">
        <f t="shared" si="4"/>
        <v>3.03030303</v>
      </c>
      <c r="K60" s="40">
        <v>14.0</v>
      </c>
      <c r="L60" s="40">
        <v>25.0</v>
      </c>
      <c r="M60" s="40">
        <v>19.0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33">
        <v>3.0</v>
      </c>
      <c r="B61" s="34" t="s">
        <v>709</v>
      </c>
      <c r="C61" s="34" t="s">
        <v>710</v>
      </c>
      <c r="D61" s="65" t="s">
        <v>711</v>
      </c>
      <c r="E61" s="66">
        <v>66.0</v>
      </c>
      <c r="F61" s="66">
        <v>65.0</v>
      </c>
      <c r="G61" s="66">
        <v>63.0</v>
      </c>
      <c r="H61" s="67">
        <f t="shared" si="3"/>
        <v>96.92307692</v>
      </c>
      <c r="I61" s="68">
        <v>2.0</v>
      </c>
      <c r="J61" s="69">
        <f t="shared" si="4"/>
        <v>3.076923077</v>
      </c>
      <c r="K61" s="40">
        <v>14.0</v>
      </c>
      <c r="L61" s="40">
        <v>14.0</v>
      </c>
      <c r="M61" s="40">
        <v>21.0</v>
      </c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33">
        <v>4.0</v>
      </c>
      <c r="B62" s="34" t="s">
        <v>712</v>
      </c>
      <c r="C62" s="34" t="s">
        <v>713</v>
      </c>
      <c r="D62" s="65" t="s">
        <v>714</v>
      </c>
      <c r="E62" s="66">
        <v>66.0</v>
      </c>
      <c r="F62" s="66">
        <v>65.0</v>
      </c>
      <c r="G62" s="66">
        <v>64.0</v>
      </c>
      <c r="H62" s="67">
        <f t="shared" si="3"/>
        <v>98.46153846</v>
      </c>
      <c r="I62" s="68">
        <v>1.0</v>
      </c>
      <c r="J62" s="69">
        <f t="shared" si="4"/>
        <v>1.538461538</v>
      </c>
      <c r="K62" s="40">
        <v>8.0</v>
      </c>
      <c r="L62" s="40">
        <v>10.0</v>
      </c>
      <c r="M62" s="40">
        <v>39.0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33">
        <v>5.0</v>
      </c>
      <c r="B63" s="34" t="s">
        <v>715</v>
      </c>
      <c r="C63" s="34" t="s">
        <v>716</v>
      </c>
      <c r="D63" s="65" t="s">
        <v>717</v>
      </c>
      <c r="E63" s="66">
        <v>58.0</v>
      </c>
      <c r="F63" s="66">
        <v>57.0</v>
      </c>
      <c r="G63" s="66">
        <v>57.0</v>
      </c>
      <c r="H63" s="67">
        <f t="shared" si="3"/>
        <v>100</v>
      </c>
      <c r="I63" s="68">
        <v>0.0</v>
      </c>
      <c r="J63" s="69">
        <f t="shared" si="4"/>
        <v>0</v>
      </c>
      <c r="K63" s="40">
        <v>3.0</v>
      </c>
      <c r="L63" s="40">
        <v>9.0</v>
      </c>
      <c r="M63" s="40">
        <v>43.0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33">
        <v>6.0</v>
      </c>
      <c r="B64" s="34" t="s">
        <v>718</v>
      </c>
      <c r="C64" s="34" t="s">
        <v>719</v>
      </c>
      <c r="D64" s="65" t="s">
        <v>720</v>
      </c>
      <c r="E64" s="66">
        <v>8.0</v>
      </c>
      <c r="F64" s="66">
        <v>8.0</v>
      </c>
      <c r="G64" s="66">
        <v>8.0</v>
      </c>
      <c r="H64" s="67">
        <f t="shared" si="3"/>
        <v>100</v>
      </c>
      <c r="I64" s="66">
        <v>0.0</v>
      </c>
      <c r="J64" s="69">
        <f t="shared" si="4"/>
        <v>0</v>
      </c>
      <c r="K64" s="70">
        <v>3.0</v>
      </c>
      <c r="L64" s="70">
        <v>1.0</v>
      </c>
      <c r="M64" s="70">
        <v>4.0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33">
        <v>7.0</v>
      </c>
      <c r="B65" s="43" t="s">
        <v>721</v>
      </c>
      <c r="C65" s="43" t="s">
        <v>722</v>
      </c>
      <c r="D65" s="65" t="s">
        <v>723</v>
      </c>
      <c r="E65" s="66">
        <v>66.0</v>
      </c>
      <c r="F65" s="66">
        <v>66.0</v>
      </c>
      <c r="G65" s="66">
        <v>66.0</v>
      </c>
      <c r="H65" s="67">
        <f t="shared" si="3"/>
        <v>100</v>
      </c>
      <c r="I65" s="66">
        <v>0.0</v>
      </c>
      <c r="J65" s="69">
        <f t="shared" si="4"/>
        <v>0</v>
      </c>
      <c r="K65" s="70" t="s">
        <v>724</v>
      </c>
      <c r="L65" s="70" t="s">
        <v>724</v>
      </c>
      <c r="M65" s="70" t="s">
        <v>724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33">
        <v>8.0</v>
      </c>
      <c r="B66" s="43" t="s">
        <v>725</v>
      </c>
      <c r="C66" s="34" t="s">
        <v>726</v>
      </c>
      <c r="D66" s="65" t="s">
        <v>727</v>
      </c>
      <c r="E66" s="66">
        <v>66.0</v>
      </c>
      <c r="F66" s="66">
        <v>66.0</v>
      </c>
      <c r="G66" s="66">
        <v>66.0</v>
      </c>
      <c r="H66" s="67">
        <f t="shared" si="3"/>
        <v>100</v>
      </c>
      <c r="I66" s="66">
        <v>0.0</v>
      </c>
      <c r="J66" s="69">
        <f t="shared" si="4"/>
        <v>0</v>
      </c>
      <c r="K66" s="70" t="s">
        <v>724</v>
      </c>
      <c r="L66" s="70" t="s">
        <v>724</v>
      </c>
      <c r="M66" s="70" t="s">
        <v>724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33">
        <v>9.0</v>
      </c>
      <c r="B67" s="43" t="s">
        <v>728</v>
      </c>
      <c r="C67" s="34" t="s">
        <v>729</v>
      </c>
      <c r="D67" s="65" t="s">
        <v>730</v>
      </c>
      <c r="E67" s="66">
        <v>53.0</v>
      </c>
      <c r="F67" s="66">
        <v>53.0</v>
      </c>
      <c r="G67" s="66">
        <v>53.0</v>
      </c>
      <c r="H67" s="67">
        <f t="shared" si="3"/>
        <v>100</v>
      </c>
      <c r="I67" s="66">
        <v>0.0</v>
      </c>
      <c r="J67" s="69">
        <f t="shared" si="4"/>
        <v>0</v>
      </c>
      <c r="K67" s="70" t="s">
        <v>724</v>
      </c>
      <c r="L67" s="70" t="s">
        <v>724</v>
      </c>
      <c r="M67" s="70" t="s">
        <v>724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33">
        <v>10.0</v>
      </c>
      <c r="B68" s="43" t="s">
        <v>731</v>
      </c>
      <c r="C68" s="34" t="s">
        <v>732</v>
      </c>
      <c r="D68" s="65" t="s">
        <v>733</v>
      </c>
      <c r="E68" s="66">
        <v>12.0</v>
      </c>
      <c r="F68" s="66">
        <v>12.0</v>
      </c>
      <c r="G68" s="66">
        <v>12.0</v>
      </c>
      <c r="H68" s="67">
        <f t="shared" si="3"/>
        <v>100</v>
      </c>
      <c r="I68" s="66">
        <v>0.0</v>
      </c>
      <c r="J68" s="69">
        <f t="shared" si="4"/>
        <v>0</v>
      </c>
      <c r="K68" s="70" t="s">
        <v>724</v>
      </c>
      <c r="L68" s="70" t="s">
        <v>724</v>
      </c>
      <c r="M68" s="70" t="s">
        <v>724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33">
        <v>11.0</v>
      </c>
      <c r="B69" s="43" t="s">
        <v>734</v>
      </c>
      <c r="C69" s="34" t="s">
        <v>735</v>
      </c>
      <c r="D69" s="65" t="s">
        <v>736</v>
      </c>
      <c r="E69" s="66">
        <v>1.0</v>
      </c>
      <c r="F69" s="66">
        <v>1.0</v>
      </c>
      <c r="G69" s="66">
        <v>1.0</v>
      </c>
      <c r="H69" s="67">
        <f t="shared" si="3"/>
        <v>100</v>
      </c>
      <c r="I69" s="66">
        <v>0.0</v>
      </c>
      <c r="J69" s="69">
        <f t="shared" si="4"/>
        <v>0</v>
      </c>
      <c r="K69" s="70" t="s">
        <v>724</v>
      </c>
      <c r="L69" s="70" t="s">
        <v>724</v>
      </c>
      <c r="M69" s="70" t="s">
        <v>724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33">
        <v>12.0</v>
      </c>
      <c r="B70" s="45" t="s">
        <v>737</v>
      </c>
      <c r="C70" s="46" t="s">
        <v>738</v>
      </c>
      <c r="D70" s="65" t="s">
        <v>739</v>
      </c>
      <c r="E70" s="66">
        <v>66.0</v>
      </c>
      <c r="F70" s="66">
        <v>66.0</v>
      </c>
      <c r="G70" s="66">
        <v>64.0</v>
      </c>
      <c r="H70" s="67">
        <f t="shared" si="3"/>
        <v>96.96969697</v>
      </c>
      <c r="I70" s="66">
        <v>2.0</v>
      </c>
      <c r="J70" s="69">
        <f t="shared" si="4"/>
        <v>3.03030303</v>
      </c>
      <c r="K70" s="70" t="s">
        <v>724</v>
      </c>
      <c r="L70" s="70" t="s">
        <v>724</v>
      </c>
      <c r="M70" s="70" t="s">
        <v>724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56"/>
      <c r="B74" s="57" t="s">
        <v>741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52.5" customHeight="1">
      <c r="A94" s="71" t="s">
        <v>690</v>
      </c>
      <c r="B94" s="72" t="s">
        <v>691</v>
      </c>
      <c r="C94" s="72" t="s">
        <v>692</v>
      </c>
      <c r="D94" s="73" t="s">
        <v>693</v>
      </c>
      <c r="E94" s="72" t="s">
        <v>694</v>
      </c>
      <c r="F94" s="72" t="s">
        <v>695</v>
      </c>
      <c r="G94" s="72" t="s">
        <v>696</v>
      </c>
      <c r="H94" s="74" t="s">
        <v>697</v>
      </c>
      <c r="I94" s="75" t="s">
        <v>698</v>
      </c>
      <c r="J94" s="75" t="s">
        <v>699</v>
      </c>
      <c r="K94" s="76" t="s">
        <v>700</v>
      </c>
      <c r="L94" s="76" t="s">
        <v>701</v>
      </c>
      <c r="M94" s="77" t="s">
        <v>702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78">
        <v>1.0</v>
      </c>
      <c r="B95" s="34" t="s">
        <v>703</v>
      </c>
      <c r="C95" s="34" t="s">
        <v>704</v>
      </c>
      <c r="D95" s="79" t="s">
        <v>742</v>
      </c>
      <c r="E95" s="80">
        <v>69.0</v>
      </c>
      <c r="F95" s="81">
        <v>69.0</v>
      </c>
      <c r="G95" s="81">
        <v>68.0</v>
      </c>
      <c r="H95" s="82">
        <f t="shared" ref="H95:H106" si="5">(G95/F95)*100</f>
        <v>98.55072464</v>
      </c>
      <c r="I95" s="83">
        <v>1.0</v>
      </c>
      <c r="J95" s="84">
        <f t="shared" ref="J95:J106" si="6">(I95/F95)*100</f>
        <v>1.449275362</v>
      </c>
      <c r="K95" s="85">
        <v>14.0</v>
      </c>
      <c r="L95" s="85">
        <v>16.0</v>
      </c>
      <c r="M95" s="85">
        <v>17.0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86">
        <v>2.0</v>
      </c>
      <c r="B96" s="34" t="s">
        <v>706</v>
      </c>
      <c r="C96" s="34" t="s">
        <v>707</v>
      </c>
      <c r="D96" s="87" t="s">
        <v>743</v>
      </c>
      <c r="E96" s="80">
        <v>69.0</v>
      </c>
      <c r="F96" s="88">
        <v>69.0</v>
      </c>
      <c r="G96" s="88">
        <v>67.0</v>
      </c>
      <c r="H96" s="82">
        <f t="shared" si="5"/>
        <v>97.10144928</v>
      </c>
      <c r="I96" s="83">
        <v>2.0</v>
      </c>
      <c r="J96" s="84">
        <f t="shared" si="6"/>
        <v>2.898550725</v>
      </c>
      <c r="K96" s="89">
        <v>13.0</v>
      </c>
      <c r="L96" s="89">
        <v>14.0</v>
      </c>
      <c r="M96" s="89">
        <v>25.0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86">
        <v>3.0</v>
      </c>
      <c r="B97" s="34" t="s">
        <v>709</v>
      </c>
      <c r="C97" s="34" t="s">
        <v>710</v>
      </c>
      <c r="D97" s="79" t="s">
        <v>744</v>
      </c>
      <c r="E97" s="80">
        <v>69.0</v>
      </c>
      <c r="F97" s="88">
        <v>69.0</v>
      </c>
      <c r="G97" s="88">
        <v>68.0</v>
      </c>
      <c r="H97" s="82">
        <f t="shared" si="5"/>
        <v>98.55072464</v>
      </c>
      <c r="I97" s="83">
        <v>1.0</v>
      </c>
      <c r="J97" s="84">
        <f t="shared" si="6"/>
        <v>1.449275362</v>
      </c>
      <c r="K97" s="89">
        <v>11.0</v>
      </c>
      <c r="L97" s="89">
        <v>15.0</v>
      </c>
      <c r="M97" s="89">
        <v>26.0</v>
      </c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86">
        <v>4.0</v>
      </c>
      <c r="B98" s="34" t="s">
        <v>712</v>
      </c>
      <c r="C98" s="34" t="s">
        <v>713</v>
      </c>
      <c r="D98" s="87" t="s">
        <v>745</v>
      </c>
      <c r="E98" s="80">
        <v>69.0</v>
      </c>
      <c r="F98" s="88">
        <v>69.0</v>
      </c>
      <c r="G98" s="88">
        <v>67.0</v>
      </c>
      <c r="H98" s="82">
        <f t="shared" si="5"/>
        <v>97.10144928</v>
      </c>
      <c r="I98" s="83">
        <v>2.0</v>
      </c>
      <c r="J98" s="84">
        <f t="shared" si="6"/>
        <v>2.898550725</v>
      </c>
      <c r="K98" s="89">
        <v>5.0</v>
      </c>
      <c r="L98" s="89">
        <v>11.0</v>
      </c>
      <c r="M98" s="89">
        <v>44.0</v>
      </c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86">
        <v>5.0</v>
      </c>
      <c r="B99" s="34" t="s">
        <v>715</v>
      </c>
      <c r="C99" s="34" t="s">
        <v>716</v>
      </c>
      <c r="D99" s="79" t="s">
        <v>746</v>
      </c>
      <c r="E99" s="80">
        <v>47.0</v>
      </c>
      <c r="F99" s="88">
        <v>47.0</v>
      </c>
      <c r="G99" s="88">
        <v>47.0</v>
      </c>
      <c r="H99" s="82">
        <f t="shared" si="5"/>
        <v>100</v>
      </c>
      <c r="I99" s="83">
        <v>0.0</v>
      </c>
      <c r="J99" s="84">
        <f t="shared" si="6"/>
        <v>0</v>
      </c>
      <c r="K99" s="89">
        <v>5.0</v>
      </c>
      <c r="L99" s="89">
        <v>6.0</v>
      </c>
      <c r="M99" s="89">
        <v>25.0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86">
        <v>6.0</v>
      </c>
      <c r="B100" s="34" t="s">
        <v>718</v>
      </c>
      <c r="C100" s="34" t="s">
        <v>719</v>
      </c>
      <c r="D100" s="87" t="s">
        <v>747</v>
      </c>
      <c r="E100" s="80">
        <v>22.0</v>
      </c>
      <c r="F100" s="88">
        <v>22.0</v>
      </c>
      <c r="G100" s="88">
        <v>22.0</v>
      </c>
      <c r="H100" s="82">
        <f t="shared" si="5"/>
        <v>100</v>
      </c>
      <c r="I100" s="83">
        <v>0.0</v>
      </c>
      <c r="J100" s="84">
        <f t="shared" si="6"/>
        <v>0</v>
      </c>
      <c r="K100" s="90">
        <v>5.0</v>
      </c>
      <c r="L100" s="90">
        <v>5.0</v>
      </c>
      <c r="M100" s="90">
        <v>6.0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86">
        <v>7.0</v>
      </c>
      <c r="B101" s="43" t="s">
        <v>721</v>
      </c>
      <c r="C101" s="43" t="s">
        <v>722</v>
      </c>
      <c r="D101" s="79" t="s">
        <v>748</v>
      </c>
      <c r="E101" s="80">
        <v>69.0</v>
      </c>
      <c r="F101" s="88">
        <v>69.0</v>
      </c>
      <c r="G101" s="88">
        <v>69.0</v>
      </c>
      <c r="H101" s="82">
        <f t="shared" si="5"/>
        <v>100</v>
      </c>
      <c r="I101" s="83">
        <v>0.0</v>
      </c>
      <c r="J101" s="84">
        <f t="shared" si="6"/>
        <v>0</v>
      </c>
      <c r="K101" s="90" t="s">
        <v>724</v>
      </c>
      <c r="L101" s="90" t="s">
        <v>724</v>
      </c>
      <c r="M101" s="90" t="s">
        <v>724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86">
        <v>8.0</v>
      </c>
      <c r="B102" s="43" t="s">
        <v>725</v>
      </c>
      <c r="C102" s="34" t="s">
        <v>726</v>
      </c>
      <c r="D102" s="87" t="s">
        <v>749</v>
      </c>
      <c r="E102" s="80">
        <v>69.0</v>
      </c>
      <c r="F102" s="88">
        <v>69.0</v>
      </c>
      <c r="G102" s="88">
        <v>69.0</v>
      </c>
      <c r="H102" s="82">
        <f t="shared" si="5"/>
        <v>100</v>
      </c>
      <c r="I102" s="83">
        <v>0.0</v>
      </c>
      <c r="J102" s="84">
        <f t="shared" si="6"/>
        <v>0</v>
      </c>
      <c r="K102" s="90" t="s">
        <v>724</v>
      </c>
      <c r="L102" s="90" t="s">
        <v>724</v>
      </c>
      <c r="M102" s="90" t="s">
        <v>724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86">
        <v>9.0</v>
      </c>
      <c r="B103" s="43" t="s">
        <v>728</v>
      </c>
      <c r="C103" s="34" t="s">
        <v>729</v>
      </c>
      <c r="D103" s="79" t="s">
        <v>750</v>
      </c>
      <c r="E103" s="80">
        <v>49.0</v>
      </c>
      <c r="F103" s="88">
        <v>49.0</v>
      </c>
      <c r="G103" s="88">
        <v>49.0</v>
      </c>
      <c r="H103" s="82">
        <f t="shared" si="5"/>
        <v>100</v>
      </c>
      <c r="I103" s="83">
        <v>0.0</v>
      </c>
      <c r="J103" s="84">
        <f t="shared" si="6"/>
        <v>0</v>
      </c>
      <c r="K103" s="90" t="s">
        <v>724</v>
      </c>
      <c r="L103" s="90" t="s">
        <v>724</v>
      </c>
      <c r="M103" s="90" t="s">
        <v>724</v>
      </c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86">
        <v>10.0</v>
      </c>
      <c r="B104" s="43" t="s">
        <v>731</v>
      </c>
      <c r="C104" s="34" t="s">
        <v>732</v>
      </c>
      <c r="D104" s="87" t="s">
        <v>751</v>
      </c>
      <c r="E104" s="80">
        <v>16.0</v>
      </c>
      <c r="F104" s="88">
        <v>16.0</v>
      </c>
      <c r="G104" s="88">
        <v>16.0</v>
      </c>
      <c r="H104" s="82">
        <f t="shared" si="5"/>
        <v>100</v>
      </c>
      <c r="I104" s="83">
        <v>0.0</v>
      </c>
      <c r="J104" s="84">
        <f t="shared" si="6"/>
        <v>0</v>
      </c>
      <c r="K104" s="90" t="s">
        <v>724</v>
      </c>
      <c r="L104" s="90" t="s">
        <v>724</v>
      </c>
      <c r="M104" s="90" t="s">
        <v>724</v>
      </c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86">
        <v>11.0</v>
      </c>
      <c r="B105" s="43" t="s">
        <v>734</v>
      </c>
      <c r="C105" s="34" t="s">
        <v>735</v>
      </c>
      <c r="D105" s="79" t="s">
        <v>752</v>
      </c>
      <c r="E105" s="80">
        <v>3.0</v>
      </c>
      <c r="F105" s="88">
        <v>3.0</v>
      </c>
      <c r="G105" s="88">
        <v>3.0</v>
      </c>
      <c r="H105" s="82">
        <f t="shared" si="5"/>
        <v>100</v>
      </c>
      <c r="I105" s="83">
        <v>0.0</v>
      </c>
      <c r="J105" s="84">
        <f t="shared" si="6"/>
        <v>0</v>
      </c>
      <c r="K105" s="90" t="s">
        <v>724</v>
      </c>
      <c r="L105" s="90" t="s">
        <v>724</v>
      </c>
      <c r="M105" s="90" t="s">
        <v>724</v>
      </c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86">
        <v>12.0</v>
      </c>
      <c r="B106" s="45" t="s">
        <v>737</v>
      </c>
      <c r="C106" s="46" t="s">
        <v>738</v>
      </c>
      <c r="D106" s="87" t="s">
        <v>753</v>
      </c>
      <c r="E106" s="80">
        <v>69.0</v>
      </c>
      <c r="F106" s="88">
        <v>68.0</v>
      </c>
      <c r="G106" s="88">
        <v>67.0</v>
      </c>
      <c r="H106" s="82">
        <f t="shared" si="5"/>
        <v>98.52941176</v>
      </c>
      <c r="I106" s="83">
        <v>1.0</v>
      </c>
      <c r="J106" s="84">
        <f t="shared" si="6"/>
        <v>1.470588235</v>
      </c>
      <c r="K106" s="90" t="s">
        <v>724</v>
      </c>
      <c r="L106" s="90" t="s">
        <v>724</v>
      </c>
      <c r="M106" s="90" t="s">
        <v>724</v>
      </c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86">
        <v>13.0</v>
      </c>
      <c r="B107" s="91"/>
      <c r="C107" s="92"/>
      <c r="D107" s="38"/>
      <c r="E107" s="93"/>
      <c r="F107" s="93"/>
      <c r="G107" s="93"/>
      <c r="H107" s="94"/>
      <c r="I107" s="94"/>
      <c r="J107" s="95"/>
      <c r="K107" s="70"/>
      <c r="L107" s="70"/>
      <c r="M107" s="70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86">
        <v>14.0</v>
      </c>
      <c r="B108" s="91"/>
      <c r="C108" s="92"/>
      <c r="D108" s="96"/>
      <c r="E108" s="93"/>
      <c r="F108" s="93"/>
      <c r="G108" s="93"/>
      <c r="H108" s="97"/>
      <c r="I108" s="94"/>
      <c r="J108" s="95"/>
      <c r="K108" s="70"/>
      <c r="L108" s="70"/>
      <c r="M108" s="70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98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B115" s="99" t="s">
        <v>684</v>
      </c>
      <c r="C115" s="100"/>
      <c r="D115" s="23"/>
      <c r="E115" s="21" t="s">
        <v>685</v>
      </c>
      <c r="G115" s="23"/>
      <c r="H115" s="21"/>
      <c r="L115" s="22" t="s">
        <v>686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8">
    <mergeCell ref="A1:L1"/>
    <mergeCell ref="A2:L2"/>
    <mergeCell ref="A3:L3"/>
    <mergeCell ref="A4:L4"/>
    <mergeCell ref="A5:L5"/>
    <mergeCell ref="A6:L6"/>
    <mergeCell ref="A8:M8"/>
    <mergeCell ref="A9:M9"/>
  </mergeCells>
  <printOptions/>
  <pageMargins bottom="0.1968503937007874" footer="0.0" header="0.0" left="0.5905511811023623" right="0.5905511811023623" top="0.1968503937007874"/>
  <pageSetup orientation="landscape"/>
  <rowBreaks count="2" manualBreakCount="2">
    <brk id="73" man="1"/>
    <brk id="42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9.25"/>
    <col customWidth="1" min="3" max="3" width="7.25"/>
    <col customWidth="1" min="4" max="4" width="10.75"/>
    <col customWidth="1" min="5" max="5" width="6.0"/>
    <col customWidth="1" min="6" max="6" width="10.75"/>
    <col customWidth="1" min="7" max="7" width="6.88"/>
    <col customWidth="1" min="8" max="8" width="8.75"/>
    <col customWidth="1" min="9" max="9" width="7.13"/>
    <col customWidth="1" min="10" max="10" width="7.88"/>
    <col customWidth="1" min="11" max="11" width="8.0"/>
    <col customWidth="1" min="12" max="12" width="7.25"/>
    <col customWidth="1" min="13" max="13" width="11.38"/>
    <col customWidth="1" min="14" max="17" width="8.63"/>
  </cols>
  <sheetData>
    <row r="1" ht="15.0" customHeight="1">
      <c r="A1" s="1" t="s">
        <v>0</v>
      </c>
      <c r="N1" s="2"/>
    </row>
    <row r="2">
      <c r="A2" s="3" t="s">
        <v>1</v>
      </c>
    </row>
    <row r="3" ht="18.75" customHeight="1">
      <c r="A3" s="5" t="s">
        <v>2</v>
      </c>
      <c r="N3" s="6"/>
      <c r="O3" s="6"/>
      <c r="P3" s="6"/>
      <c r="Q3" s="6"/>
    </row>
    <row r="4" ht="15.0" customHeight="1">
      <c r="A4" s="1" t="s">
        <v>3</v>
      </c>
      <c r="N4" s="2"/>
      <c r="O4" s="2"/>
    </row>
    <row r="5" ht="15.0" customHeight="1">
      <c r="A5" s="1" t="s">
        <v>4</v>
      </c>
      <c r="N5" s="2"/>
      <c r="O5" s="2"/>
    </row>
    <row r="6" ht="15.0" customHeight="1">
      <c r="A6" s="7" t="s">
        <v>5</v>
      </c>
      <c r="M6" s="8"/>
      <c r="N6" s="8"/>
      <c r="O6" s="8"/>
    </row>
    <row r="8">
      <c r="A8" s="9" t="s">
        <v>754</v>
      </c>
    </row>
    <row r="9">
      <c r="A9" s="24" t="s">
        <v>755</v>
      </c>
    </row>
    <row r="10">
      <c r="A10" s="101"/>
      <c r="B10" s="101"/>
      <c r="C10" s="101"/>
      <c r="D10" s="101"/>
      <c r="E10" s="101"/>
      <c r="F10" s="101"/>
      <c r="G10" s="101"/>
      <c r="H10" s="101"/>
      <c r="I10" s="101"/>
      <c r="J10" s="102"/>
      <c r="K10" s="102"/>
    </row>
    <row r="11">
      <c r="A11" s="101"/>
      <c r="B11" s="101"/>
      <c r="C11" s="101"/>
      <c r="D11" s="101"/>
      <c r="E11" s="101"/>
      <c r="F11" s="101"/>
      <c r="G11" s="101"/>
      <c r="H11" s="101"/>
      <c r="I11" s="101"/>
      <c r="J11" s="102"/>
      <c r="K11" s="102"/>
    </row>
    <row r="12">
      <c r="A12" s="101"/>
      <c r="B12" s="101"/>
      <c r="C12" s="101"/>
      <c r="D12" s="101"/>
      <c r="E12" s="101"/>
      <c r="F12" s="101"/>
      <c r="G12" s="101"/>
      <c r="H12" s="101"/>
      <c r="I12" s="101"/>
      <c r="J12" s="102"/>
      <c r="K12" s="102"/>
    </row>
    <row r="15" ht="15.75" customHeight="1"/>
    <row r="16" ht="15.75" customHeight="1"/>
    <row r="17" ht="15.75" customHeight="1"/>
    <row r="18" ht="15.75" customHeight="1"/>
    <row r="19" ht="20.2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A25" s="103" t="s">
        <v>8</v>
      </c>
      <c r="B25" s="104" t="s">
        <v>756</v>
      </c>
      <c r="C25" s="105" t="s">
        <v>757</v>
      </c>
      <c r="D25" s="106"/>
      <c r="E25" s="105" t="s">
        <v>758</v>
      </c>
      <c r="F25" s="106"/>
      <c r="G25" s="107" t="s">
        <v>759</v>
      </c>
      <c r="H25" s="107" t="s">
        <v>759</v>
      </c>
      <c r="I25" s="107" t="s">
        <v>759</v>
      </c>
      <c r="J25" s="107" t="s">
        <v>759</v>
      </c>
      <c r="K25" s="107" t="s">
        <v>759</v>
      </c>
      <c r="L25" s="107" t="s">
        <v>759</v>
      </c>
      <c r="M25" s="107" t="s">
        <v>759</v>
      </c>
    </row>
    <row r="26" ht="15.75" customHeight="1">
      <c r="A26" s="108"/>
      <c r="B26" s="104" t="s">
        <v>760</v>
      </c>
      <c r="C26" s="104" t="s">
        <v>761</v>
      </c>
      <c r="D26" s="104" t="s">
        <v>762</v>
      </c>
      <c r="E26" s="104" t="s">
        <v>761</v>
      </c>
      <c r="F26" s="104" t="s">
        <v>762</v>
      </c>
      <c r="G26" s="107" t="s">
        <v>763</v>
      </c>
      <c r="H26" s="109" t="s">
        <v>764</v>
      </c>
      <c r="I26" s="109" t="s">
        <v>765</v>
      </c>
      <c r="J26" s="109" t="s">
        <v>766</v>
      </c>
      <c r="K26" s="109" t="s">
        <v>767</v>
      </c>
      <c r="L26" s="109" t="s">
        <v>768</v>
      </c>
      <c r="M26" s="109" t="s">
        <v>769</v>
      </c>
    </row>
    <row r="27" ht="15.75" customHeight="1">
      <c r="A27" s="110" t="s">
        <v>770</v>
      </c>
      <c r="B27" s="110">
        <v>188.0</v>
      </c>
      <c r="C27" s="110">
        <v>149.0</v>
      </c>
      <c r="D27" s="111">
        <v>0.7925</v>
      </c>
      <c r="E27" s="110">
        <v>39.0</v>
      </c>
      <c r="F27" s="111">
        <v>0.2075</v>
      </c>
      <c r="G27" s="112">
        <v>9.0</v>
      </c>
      <c r="H27" s="112">
        <v>3.0</v>
      </c>
      <c r="I27" s="112">
        <v>9.0</v>
      </c>
      <c r="J27" s="112">
        <v>21.0</v>
      </c>
      <c r="K27" s="112">
        <v>32.0</v>
      </c>
      <c r="L27" s="112">
        <v>62.0</v>
      </c>
      <c r="M27" s="112">
        <v>52.0</v>
      </c>
    </row>
    <row r="28" ht="15.75" customHeight="1">
      <c r="A28" s="110" t="s">
        <v>771</v>
      </c>
      <c r="B28" s="110">
        <v>188.0</v>
      </c>
      <c r="C28" s="110">
        <v>161.0</v>
      </c>
      <c r="D28" s="111">
        <v>0.8563</v>
      </c>
      <c r="E28" s="110">
        <v>27.0</v>
      </c>
      <c r="F28" s="111">
        <v>0.1437</v>
      </c>
      <c r="G28" s="112">
        <v>11.0</v>
      </c>
      <c r="H28" s="112">
        <v>4.0</v>
      </c>
      <c r="I28" s="112">
        <v>9.0</v>
      </c>
      <c r="J28" s="112">
        <v>13.0</v>
      </c>
      <c r="K28" s="112">
        <v>34.0</v>
      </c>
      <c r="L28" s="112">
        <v>52.0</v>
      </c>
      <c r="M28" s="112">
        <v>65.0</v>
      </c>
    </row>
    <row r="29" ht="15.75" customHeight="1">
      <c r="A29" s="110" t="s">
        <v>772</v>
      </c>
      <c r="B29" s="110">
        <v>203.0</v>
      </c>
      <c r="C29" s="110">
        <v>192.0</v>
      </c>
      <c r="D29" s="111">
        <v>0.9458</v>
      </c>
      <c r="E29" s="110">
        <v>11.0</v>
      </c>
      <c r="F29" s="111">
        <v>0.0542</v>
      </c>
      <c r="G29" s="112">
        <v>5.0</v>
      </c>
      <c r="H29" s="112">
        <v>0.0</v>
      </c>
      <c r="I29" s="112">
        <v>4.0</v>
      </c>
      <c r="J29" s="112">
        <v>14.0</v>
      </c>
      <c r="K29" s="112">
        <v>56.0</v>
      </c>
      <c r="L29" s="112">
        <v>57.0</v>
      </c>
      <c r="M29" s="112">
        <v>67.0</v>
      </c>
    </row>
    <row r="30" ht="15.75" customHeight="1">
      <c r="A30" s="110" t="s">
        <v>773</v>
      </c>
      <c r="B30" s="110">
        <v>203.0</v>
      </c>
      <c r="C30" s="110">
        <v>173.0</v>
      </c>
      <c r="D30" s="111">
        <v>0.8522</v>
      </c>
      <c r="E30" s="110">
        <v>30.0</v>
      </c>
      <c r="F30" s="111">
        <v>0.1478</v>
      </c>
      <c r="G30" s="112">
        <v>8.0</v>
      </c>
      <c r="H30" s="112">
        <v>3.0</v>
      </c>
      <c r="I30" s="112">
        <v>11.0</v>
      </c>
      <c r="J30" s="112">
        <v>14.0</v>
      </c>
      <c r="K30" s="112">
        <v>40.0</v>
      </c>
      <c r="L30" s="112">
        <v>71.0</v>
      </c>
      <c r="M30" s="112">
        <v>56.0</v>
      </c>
    </row>
    <row r="31" ht="15.75" customHeight="1">
      <c r="A31" s="110" t="s">
        <v>21</v>
      </c>
      <c r="B31" s="110">
        <v>204.0</v>
      </c>
      <c r="C31" s="110">
        <v>184.0</v>
      </c>
      <c r="D31" s="113">
        <v>0.902</v>
      </c>
      <c r="E31" s="110">
        <v>20.0</v>
      </c>
      <c r="F31" s="113">
        <v>0.098</v>
      </c>
      <c r="G31" s="112">
        <v>5.0</v>
      </c>
      <c r="H31" s="112">
        <v>3.0</v>
      </c>
      <c r="I31" s="112">
        <v>6.0</v>
      </c>
      <c r="J31" s="112">
        <v>12.0</v>
      </c>
      <c r="K31" s="112">
        <v>40.0</v>
      </c>
      <c r="L31" s="112">
        <v>84.0</v>
      </c>
      <c r="M31" s="112">
        <v>54.0</v>
      </c>
    </row>
    <row r="32" ht="15.75" customHeight="1">
      <c r="A32" s="110" t="s">
        <v>774</v>
      </c>
      <c r="B32" s="110"/>
      <c r="C32" s="110"/>
      <c r="D32" s="113"/>
      <c r="E32" s="110"/>
      <c r="F32" s="113"/>
      <c r="G32" s="112"/>
      <c r="H32" s="112"/>
      <c r="I32" s="112"/>
      <c r="J32" s="112"/>
      <c r="K32" s="112"/>
      <c r="L32" s="112"/>
      <c r="M32" s="112"/>
    </row>
    <row r="33" ht="15.75" customHeight="1">
      <c r="A33" s="110" t="s">
        <v>775</v>
      </c>
      <c r="B33" s="110"/>
      <c r="C33" s="110"/>
      <c r="D33" s="113"/>
      <c r="E33" s="110"/>
      <c r="F33" s="113"/>
      <c r="G33" s="112"/>
      <c r="H33" s="112"/>
      <c r="I33" s="112"/>
      <c r="J33" s="112"/>
      <c r="K33" s="112"/>
      <c r="L33" s="112"/>
      <c r="M33" s="112"/>
    </row>
    <row r="34" ht="15.75" customHeight="1">
      <c r="A34" s="110" t="s">
        <v>776</v>
      </c>
      <c r="B34" s="110"/>
      <c r="C34" s="110"/>
      <c r="D34" s="113"/>
      <c r="E34" s="110"/>
      <c r="F34" s="113"/>
      <c r="G34" s="112"/>
      <c r="H34" s="112"/>
      <c r="I34" s="112"/>
      <c r="J34" s="112"/>
      <c r="K34" s="112"/>
      <c r="L34" s="112"/>
      <c r="M34" s="112"/>
    </row>
    <row r="35" ht="15.7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2"/>
      <c r="K35" s="102"/>
    </row>
    <row r="36" ht="15.75" customHeight="1"/>
    <row r="37" ht="15.75" customHeight="1"/>
    <row r="38" ht="15.75" customHeight="1">
      <c r="B38" s="99" t="s">
        <v>684</v>
      </c>
      <c r="C38" s="100"/>
      <c r="D38" s="114"/>
      <c r="G38" s="21" t="s">
        <v>685</v>
      </c>
      <c r="H38" s="21"/>
      <c r="L38" s="22" t="s">
        <v>686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115"/>
      <c r="B47" s="104"/>
      <c r="C47" s="104"/>
      <c r="D47" s="116"/>
      <c r="E47" s="104"/>
      <c r="F47" s="116"/>
      <c r="G47" s="107"/>
      <c r="H47" s="107"/>
      <c r="I47" s="107"/>
      <c r="J47" s="107"/>
      <c r="K47" s="107"/>
      <c r="L47" s="107"/>
      <c r="M47" s="107"/>
    </row>
    <row r="48" ht="15.75" customHeight="1">
      <c r="A48" s="117"/>
      <c r="B48" s="117"/>
      <c r="C48" s="117"/>
      <c r="D48" s="118"/>
      <c r="E48" s="117"/>
      <c r="F48" s="118"/>
      <c r="G48" s="117"/>
      <c r="H48" s="117"/>
      <c r="I48" s="117"/>
      <c r="J48" s="117"/>
      <c r="K48" s="117"/>
      <c r="L48" s="117"/>
      <c r="M48" s="117"/>
    </row>
    <row r="49" ht="15.75" customHeight="1">
      <c r="A49" s="115"/>
      <c r="B49" s="115"/>
      <c r="C49" s="115"/>
      <c r="D49" s="119"/>
      <c r="E49" s="115"/>
      <c r="F49" s="119"/>
      <c r="G49" s="115"/>
      <c r="H49" s="115"/>
      <c r="I49" s="115"/>
      <c r="J49" s="115"/>
      <c r="K49" s="115"/>
      <c r="L49" s="115"/>
      <c r="M49" s="115"/>
    </row>
    <row r="50" ht="15.75" customHeight="1">
      <c r="A50" s="120" t="s">
        <v>777</v>
      </c>
      <c r="B50" s="121">
        <v>69.0</v>
      </c>
      <c r="C50" s="121">
        <v>55.0</v>
      </c>
      <c r="D50" s="122">
        <v>0.797</v>
      </c>
      <c r="E50" s="121">
        <v>14.0</v>
      </c>
      <c r="F50" s="122">
        <v>0.2</v>
      </c>
      <c r="G50" s="123">
        <v>2.0</v>
      </c>
      <c r="H50" s="123">
        <v>3.0</v>
      </c>
      <c r="I50" s="123">
        <v>4.0</v>
      </c>
      <c r="J50" s="123">
        <v>8.0</v>
      </c>
      <c r="K50" s="123">
        <v>15.0</v>
      </c>
      <c r="L50" s="123">
        <v>22.0</v>
      </c>
      <c r="M50" s="123">
        <v>15.0</v>
      </c>
    </row>
    <row r="51" ht="15.75" customHeight="1">
      <c r="A51" s="120" t="s">
        <v>778</v>
      </c>
      <c r="B51" s="121">
        <v>66.0</v>
      </c>
      <c r="C51" s="121">
        <v>58.0</v>
      </c>
      <c r="D51" s="122">
        <v>0.8787</v>
      </c>
      <c r="E51" s="121">
        <v>8.0</v>
      </c>
      <c r="F51" s="122">
        <v>0.12</v>
      </c>
      <c r="G51" s="123">
        <v>2.0</v>
      </c>
      <c r="H51" s="123">
        <v>0.0</v>
      </c>
      <c r="I51" s="123">
        <v>2.0</v>
      </c>
      <c r="J51" s="123">
        <v>2.0</v>
      </c>
      <c r="K51" s="123">
        <v>10.0</v>
      </c>
      <c r="L51" s="123">
        <v>28.0</v>
      </c>
      <c r="M51" s="123">
        <v>22.0</v>
      </c>
    </row>
    <row r="52" ht="15.75" customHeight="1">
      <c r="A52" s="120" t="s">
        <v>779</v>
      </c>
      <c r="B52" s="121">
        <v>69.0</v>
      </c>
      <c r="C52" s="121">
        <v>62.0</v>
      </c>
      <c r="D52" s="122">
        <f>(C52/B52)</f>
        <v>0.8985507246</v>
      </c>
      <c r="E52" s="121">
        <v>7.0</v>
      </c>
      <c r="F52" s="122">
        <f>E52/B52</f>
        <v>0.1014492754</v>
      </c>
      <c r="G52" s="123">
        <v>1.0</v>
      </c>
      <c r="H52" s="123">
        <v>1.0</v>
      </c>
      <c r="I52" s="123">
        <v>3.0</v>
      </c>
      <c r="J52" s="123">
        <v>3.0</v>
      </c>
      <c r="K52" s="123">
        <v>15.0</v>
      </c>
      <c r="L52" s="123">
        <v>30.0</v>
      </c>
      <c r="M52" s="123">
        <v>16.0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F95" s="124">
        <v>68.0</v>
      </c>
      <c r="G95" s="124">
        <v>64.0</v>
      </c>
    </row>
    <row r="96" ht="15.75" customHeight="1">
      <c r="F96" s="124">
        <v>69.0</v>
      </c>
      <c r="G96" s="124">
        <v>68.0</v>
      </c>
    </row>
    <row r="97" ht="15.75" customHeight="1">
      <c r="F97" s="124">
        <v>68.0</v>
      </c>
      <c r="G97" s="124">
        <v>63.0</v>
      </c>
    </row>
    <row r="98" ht="15.75" customHeight="1">
      <c r="F98" s="124">
        <v>68.0</v>
      </c>
      <c r="G98" s="124">
        <v>67.0</v>
      </c>
    </row>
    <row r="99" ht="15.75" customHeight="1">
      <c r="F99" s="124">
        <v>68.0</v>
      </c>
      <c r="G99" s="124">
        <v>68.0</v>
      </c>
    </row>
    <row r="100" ht="15.75" customHeight="1">
      <c r="F100" s="124">
        <v>68.0</v>
      </c>
      <c r="G100" s="124">
        <v>67.0</v>
      </c>
    </row>
    <row r="101" ht="15.75" customHeight="1">
      <c r="F101" s="124">
        <v>68.0</v>
      </c>
      <c r="G101" s="124">
        <v>68.0</v>
      </c>
    </row>
    <row r="102" ht="15.75" customHeight="1">
      <c r="F102" s="124">
        <v>68.0</v>
      </c>
      <c r="G102" s="124">
        <v>68.0</v>
      </c>
    </row>
    <row r="103" ht="15.75" customHeight="1">
      <c r="F103" s="124">
        <v>48.0</v>
      </c>
      <c r="G103" s="124">
        <v>48.0</v>
      </c>
    </row>
    <row r="104" ht="15.75" customHeight="1">
      <c r="F104" s="124">
        <v>1.0</v>
      </c>
      <c r="G104" s="124">
        <v>1.0</v>
      </c>
    </row>
    <row r="105" ht="15.75" customHeight="1">
      <c r="F105" s="124">
        <v>16.0</v>
      </c>
      <c r="G105" s="124">
        <v>16.0</v>
      </c>
    </row>
    <row r="106" ht="15.75" customHeight="1">
      <c r="F106" s="124">
        <v>3.0</v>
      </c>
      <c r="G106" s="124">
        <v>3.0</v>
      </c>
    </row>
    <row r="107" ht="15.75" customHeight="1">
      <c r="F107" s="124">
        <v>5.0</v>
      </c>
      <c r="G107" s="124">
        <v>5.0</v>
      </c>
    </row>
    <row r="108" ht="15.75" customHeight="1">
      <c r="F108" s="124">
        <v>68.0</v>
      </c>
      <c r="G108" s="124">
        <v>67.0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M9"/>
    <mergeCell ref="A25:A26"/>
    <mergeCell ref="C25:D25"/>
    <mergeCell ref="E25:F25"/>
    <mergeCell ref="A1:M1"/>
    <mergeCell ref="A2:M2"/>
    <mergeCell ref="A3:M3"/>
    <mergeCell ref="A4:M4"/>
    <mergeCell ref="A5:M5"/>
    <mergeCell ref="A6:L6"/>
    <mergeCell ref="A8:M8"/>
  </mergeCells>
  <printOptions/>
  <pageMargins bottom="0.196850393700787" footer="0.0" header="0.0" left="1.196850394" right="0.196850393700787" top="0.196850393700787"/>
  <pageSetup orientation="landscape"/>
  <rowBreaks count="1" manualBreakCount="1">
    <brk id="3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9.25"/>
    <col customWidth="1" min="3" max="3" width="7.25"/>
    <col customWidth="1" min="4" max="4" width="9.0"/>
    <col customWidth="1" min="5" max="5" width="6.0"/>
    <col customWidth="1" min="6" max="6" width="11.75"/>
    <col customWidth="1" min="7" max="7" width="6.88"/>
    <col customWidth="1" min="8" max="8" width="8.75"/>
    <col customWidth="1" min="9" max="9" width="7.13"/>
    <col customWidth="1" min="10" max="10" width="7.88"/>
    <col customWidth="1" min="11" max="11" width="8.0"/>
    <col customWidth="1" min="12" max="12" width="7.25"/>
    <col customWidth="1" min="13" max="13" width="13.0"/>
    <col customWidth="1" min="14" max="22" width="8.63"/>
  </cols>
  <sheetData>
    <row r="1" ht="15.0" customHeight="1">
      <c r="A1" s="1" t="s">
        <v>0</v>
      </c>
      <c r="M1" s="2"/>
    </row>
    <row r="2">
      <c r="A2" s="3" t="s">
        <v>1</v>
      </c>
    </row>
    <row r="3" ht="18.75" customHeight="1">
      <c r="A3" s="5" t="s">
        <v>2</v>
      </c>
      <c r="M3" s="6"/>
      <c r="N3" s="6"/>
      <c r="O3" s="6"/>
      <c r="P3" s="6"/>
    </row>
    <row r="4" ht="15.0" customHeight="1">
      <c r="A4" s="1" t="s">
        <v>3</v>
      </c>
      <c r="M4" s="2"/>
      <c r="N4" s="2"/>
    </row>
    <row r="5" ht="15.0" customHeight="1">
      <c r="A5" s="1" t="s">
        <v>4</v>
      </c>
      <c r="M5" s="2"/>
      <c r="N5" s="2"/>
    </row>
    <row r="6" ht="15.0" customHeight="1">
      <c r="A6" s="7" t="s">
        <v>5</v>
      </c>
      <c r="M6" s="8"/>
      <c r="N6" s="8"/>
    </row>
    <row r="8">
      <c r="A8" s="9" t="s">
        <v>780</v>
      </c>
    </row>
    <row r="9">
      <c r="A9" s="24" t="s">
        <v>781</v>
      </c>
    </row>
    <row r="10">
      <c r="A10" s="101"/>
      <c r="B10" s="101"/>
      <c r="C10" s="101"/>
      <c r="D10" s="101"/>
      <c r="E10" s="101"/>
      <c r="F10" s="101"/>
      <c r="G10" s="101"/>
      <c r="H10" s="101"/>
      <c r="I10" s="101"/>
      <c r="J10" s="102"/>
      <c r="K10" s="10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20.25" customHeight="1"/>
    <row r="18" ht="15.75" customHeight="1"/>
    <row r="19" ht="15.75" customHeight="1"/>
    <row r="20" ht="15.75" customHeight="1">
      <c r="A20" s="125" t="s">
        <v>8</v>
      </c>
      <c r="B20" s="126" t="s">
        <v>756</v>
      </c>
      <c r="C20" s="127" t="s">
        <v>757</v>
      </c>
      <c r="D20" s="128"/>
      <c r="E20" s="127" t="s">
        <v>758</v>
      </c>
      <c r="F20" s="129"/>
      <c r="G20" s="130" t="s">
        <v>782</v>
      </c>
      <c r="H20" s="128"/>
      <c r="I20" s="130" t="s">
        <v>783</v>
      </c>
      <c r="J20" s="128"/>
      <c r="K20" s="130" t="s">
        <v>125</v>
      </c>
      <c r="L20" s="128"/>
    </row>
    <row r="21" ht="15.75" customHeight="1">
      <c r="A21" s="131"/>
      <c r="B21" s="132" t="s">
        <v>760</v>
      </c>
      <c r="C21" s="133" t="s">
        <v>761</v>
      </c>
      <c r="D21" s="133" t="s">
        <v>762</v>
      </c>
      <c r="E21" s="133" t="s">
        <v>761</v>
      </c>
      <c r="F21" s="133" t="s">
        <v>762</v>
      </c>
      <c r="G21" s="133" t="s">
        <v>761</v>
      </c>
      <c r="H21" s="133" t="s">
        <v>762</v>
      </c>
      <c r="I21" s="133" t="s">
        <v>761</v>
      </c>
      <c r="J21" s="133" t="s">
        <v>762</v>
      </c>
      <c r="K21" s="133" t="s">
        <v>761</v>
      </c>
      <c r="L21" s="133" t="s">
        <v>762</v>
      </c>
      <c r="T21" s="134" t="s">
        <v>784</v>
      </c>
      <c r="U21" s="134" t="s">
        <v>785</v>
      </c>
      <c r="V21" s="134" t="s">
        <v>786</v>
      </c>
    </row>
    <row r="22" ht="15.75" customHeight="1">
      <c r="A22" s="135" t="s">
        <v>770</v>
      </c>
      <c r="B22" s="136">
        <v>188.0</v>
      </c>
      <c r="C22" s="121">
        <v>149.0</v>
      </c>
      <c r="D22" s="122">
        <v>0.7925</v>
      </c>
      <c r="E22" s="121">
        <v>39.0</v>
      </c>
      <c r="F22" s="122">
        <v>0.2075</v>
      </c>
      <c r="G22" s="123">
        <v>133.0</v>
      </c>
      <c r="H22" s="123">
        <v>70.74</v>
      </c>
      <c r="I22" s="123">
        <v>16.0</v>
      </c>
      <c r="J22" s="123">
        <v>8.51</v>
      </c>
      <c r="K22" s="123" t="s">
        <v>787</v>
      </c>
      <c r="L22" s="123" t="s">
        <v>788</v>
      </c>
      <c r="S22" s="132" t="s">
        <v>770</v>
      </c>
      <c r="T22" s="123">
        <v>70.74</v>
      </c>
      <c r="U22" s="123">
        <v>8.51</v>
      </c>
      <c r="V22" s="137">
        <v>0.0</v>
      </c>
    </row>
    <row r="23" ht="15.75" customHeight="1">
      <c r="A23" s="120" t="s">
        <v>771</v>
      </c>
      <c r="B23" s="121">
        <v>188.0</v>
      </c>
      <c r="C23" s="121">
        <v>161.0</v>
      </c>
      <c r="D23" s="122">
        <v>0.8563</v>
      </c>
      <c r="E23" s="121">
        <v>27.0</v>
      </c>
      <c r="F23" s="122">
        <v>0.1437</v>
      </c>
      <c r="G23" s="123">
        <v>143.0</v>
      </c>
      <c r="H23" s="123">
        <v>76.06</v>
      </c>
      <c r="I23" s="123">
        <v>18.0</v>
      </c>
      <c r="J23" s="123">
        <v>9.57</v>
      </c>
      <c r="K23" s="123" t="s">
        <v>787</v>
      </c>
      <c r="L23" s="123" t="s">
        <v>788</v>
      </c>
      <c r="S23" s="132" t="s">
        <v>771</v>
      </c>
      <c r="T23" s="123">
        <v>76.06</v>
      </c>
      <c r="U23" s="123">
        <v>9.57</v>
      </c>
      <c r="V23" s="137">
        <v>0.0</v>
      </c>
    </row>
    <row r="24" ht="15.75" customHeight="1">
      <c r="A24" s="120" t="s">
        <v>772</v>
      </c>
      <c r="B24" s="121">
        <v>203.0</v>
      </c>
      <c r="C24" s="138">
        <v>192.0</v>
      </c>
      <c r="D24" s="139">
        <v>0.9458</v>
      </c>
      <c r="E24" s="138">
        <v>11.0</v>
      </c>
      <c r="F24" s="139">
        <v>0.0542</v>
      </c>
      <c r="G24" s="140">
        <v>180.0</v>
      </c>
      <c r="H24" s="140">
        <v>88.66</v>
      </c>
      <c r="I24" s="140">
        <v>12.0</v>
      </c>
      <c r="J24" s="140">
        <v>5.91</v>
      </c>
      <c r="K24" s="123" t="s">
        <v>787</v>
      </c>
      <c r="L24" s="123" t="s">
        <v>788</v>
      </c>
      <c r="S24" s="132" t="s">
        <v>772</v>
      </c>
      <c r="T24" s="140">
        <v>88.66</v>
      </c>
      <c r="U24" s="140">
        <v>5.91</v>
      </c>
      <c r="V24" s="137">
        <v>0.0</v>
      </c>
    </row>
    <row r="25" ht="15.75" customHeight="1">
      <c r="A25" s="120" t="s">
        <v>773</v>
      </c>
      <c r="B25" s="121">
        <v>203.0</v>
      </c>
      <c r="C25" s="121">
        <v>173.0</v>
      </c>
      <c r="D25" s="122">
        <v>0.8522</v>
      </c>
      <c r="E25" s="121">
        <v>30.0</v>
      </c>
      <c r="F25" s="122">
        <v>0.1478</v>
      </c>
      <c r="G25" s="123">
        <v>165.0</v>
      </c>
      <c r="H25" s="123">
        <v>81.28</v>
      </c>
      <c r="I25" s="123">
        <v>7.0</v>
      </c>
      <c r="J25" s="123">
        <v>3.44</v>
      </c>
      <c r="K25" s="123">
        <v>1.0</v>
      </c>
      <c r="L25" s="123">
        <v>0.49</v>
      </c>
      <c r="S25" s="134" t="s">
        <v>789</v>
      </c>
      <c r="T25" s="141">
        <v>81.28</v>
      </c>
      <c r="U25" s="141">
        <v>3.44</v>
      </c>
      <c r="V25" s="137">
        <v>0.49</v>
      </c>
    </row>
    <row r="26" ht="15.75" customHeight="1">
      <c r="A26" s="120" t="s">
        <v>21</v>
      </c>
      <c r="B26" s="121">
        <v>204.0</v>
      </c>
      <c r="C26" s="121">
        <v>184.0</v>
      </c>
      <c r="D26" s="122">
        <v>0.902</v>
      </c>
      <c r="E26" s="121">
        <v>20.0</v>
      </c>
      <c r="F26" s="122">
        <v>0.098</v>
      </c>
      <c r="G26" s="123">
        <v>176.0</v>
      </c>
      <c r="H26" s="123">
        <v>86.27</v>
      </c>
      <c r="I26" s="123">
        <v>8.0</v>
      </c>
      <c r="J26" s="123">
        <v>3.92</v>
      </c>
      <c r="K26" s="123" t="s">
        <v>787</v>
      </c>
      <c r="L26" s="123" t="s">
        <v>788</v>
      </c>
      <c r="S26" s="134"/>
      <c r="V26" s="137"/>
    </row>
    <row r="27" ht="15.75" customHeight="1">
      <c r="A27" s="120" t="s">
        <v>774</v>
      </c>
      <c r="B27" s="121"/>
      <c r="C27" s="121"/>
      <c r="D27" s="122"/>
      <c r="E27" s="121"/>
      <c r="F27" s="122"/>
      <c r="G27" s="123"/>
      <c r="H27" s="142"/>
      <c r="I27" s="143"/>
      <c r="J27" s="144"/>
      <c r="K27" s="143"/>
      <c r="L27" s="143"/>
    </row>
    <row r="28" ht="15.75" customHeight="1">
      <c r="A28" s="120" t="s">
        <v>775</v>
      </c>
      <c r="B28" s="121"/>
      <c r="C28" s="121"/>
      <c r="D28" s="145"/>
      <c r="E28" s="121"/>
      <c r="F28" s="145"/>
      <c r="G28" s="123"/>
      <c r="H28" s="123"/>
      <c r="I28" s="123"/>
      <c r="J28" s="123"/>
      <c r="K28" s="123"/>
      <c r="L28" s="123"/>
    </row>
    <row r="29" ht="15.75" customHeight="1">
      <c r="A29" s="120" t="s">
        <v>776</v>
      </c>
      <c r="B29" s="121"/>
      <c r="C29" s="121"/>
      <c r="D29" s="145"/>
      <c r="E29" s="121"/>
      <c r="F29" s="145"/>
      <c r="G29" s="123"/>
      <c r="H29" s="123"/>
      <c r="I29" s="123"/>
      <c r="J29" s="123"/>
      <c r="K29" s="123"/>
      <c r="L29" s="12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146" t="s">
        <v>684</v>
      </c>
      <c r="C35" s="100"/>
      <c r="D35" s="114"/>
      <c r="E35" s="21"/>
      <c r="F35" s="146" t="s">
        <v>685</v>
      </c>
      <c r="K35" s="22" t="s">
        <v>686</v>
      </c>
    </row>
    <row r="36" ht="15.75" customHeight="1"/>
    <row r="37" ht="15.75" customHeight="1">
      <c r="A37" s="147" t="s">
        <v>790</v>
      </c>
      <c r="B37" s="121">
        <v>69.0</v>
      </c>
      <c r="C37" s="121">
        <v>55.0</v>
      </c>
      <c r="D37" s="122">
        <v>0.797</v>
      </c>
      <c r="E37" s="121">
        <v>14.0</v>
      </c>
      <c r="F37" s="122">
        <v>0.2</v>
      </c>
      <c r="G37" s="123">
        <v>51.0</v>
      </c>
      <c r="H37" s="123">
        <v>73.91</v>
      </c>
      <c r="I37" s="123">
        <v>4.0</v>
      </c>
      <c r="J37" s="123">
        <v>5.79</v>
      </c>
      <c r="K37" s="143" t="s">
        <v>724</v>
      </c>
      <c r="L37" s="143" t="s">
        <v>724</v>
      </c>
    </row>
    <row r="38" ht="15.75" customHeight="1">
      <c r="A38" s="147" t="s">
        <v>791</v>
      </c>
      <c r="B38" s="121">
        <v>66.0</v>
      </c>
      <c r="C38" s="121">
        <v>58.0</v>
      </c>
      <c r="D38" s="122">
        <v>0.8787</v>
      </c>
      <c r="E38" s="121">
        <v>8.0</v>
      </c>
      <c r="F38" s="122">
        <v>0.12</v>
      </c>
      <c r="G38" s="123">
        <v>58.0</v>
      </c>
      <c r="H38" s="123">
        <v>88.0</v>
      </c>
      <c r="I38" s="143" t="s">
        <v>724</v>
      </c>
      <c r="J38" s="143" t="s">
        <v>724</v>
      </c>
      <c r="K38" s="143" t="s">
        <v>724</v>
      </c>
      <c r="L38" s="143" t="s">
        <v>724</v>
      </c>
    </row>
    <row r="39" ht="15.75" customHeight="1">
      <c r="A39" s="147" t="s">
        <v>792</v>
      </c>
      <c r="B39" s="121">
        <v>69.0</v>
      </c>
      <c r="C39" s="121">
        <v>62.0</v>
      </c>
      <c r="D39" s="122">
        <f>(C39/B39)</f>
        <v>0.8985507246</v>
      </c>
      <c r="E39" s="121">
        <v>7.0</v>
      </c>
      <c r="F39" s="122">
        <f>E39/B39</f>
        <v>0.1014492754</v>
      </c>
      <c r="G39" s="123">
        <v>59.0</v>
      </c>
      <c r="H39" s="142">
        <f>G39/B39*100</f>
        <v>85.50724638</v>
      </c>
      <c r="I39" s="143">
        <v>3.0</v>
      </c>
      <c r="J39" s="144">
        <f>I39/B39*100</f>
        <v>4.347826087</v>
      </c>
      <c r="K39" s="143" t="s">
        <v>724</v>
      </c>
      <c r="L39" s="143" t="s">
        <v>724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>
      <c r="F97" s="124">
        <v>68.0</v>
      </c>
      <c r="G97" s="124">
        <v>64.0</v>
      </c>
    </row>
    <row r="98" ht="15.75" customHeight="1">
      <c r="F98" s="124">
        <v>69.0</v>
      </c>
      <c r="G98" s="124">
        <v>68.0</v>
      </c>
    </row>
    <row r="99" ht="15.75" customHeight="1">
      <c r="F99" s="124">
        <v>68.0</v>
      </c>
      <c r="G99" s="124">
        <v>63.0</v>
      </c>
    </row>
    <row r="100" ht="15.75" customHeight="1">
      <c r="F100" s="124">
        <v>68.0</v>
      </c>
      <c r="G100" s="124">
        <v>67.0</v>
      </c>
    </row>
    <row r="101" ht="15.75" customHeight="1">
      <c r="F101" s="124">
        <v>68.0</v>
      </c>
      <c r="G101" s="124">
        <v>68.0</v>
      </c>
    </row>
    <row r="102" ht="15.75" customHeight="1">
      <c r="F102" s="124">
        <v>68.0</v>
      </c>
      <c r="G102" s="124">
        <v>67.0</v>
      </c>
    </row>
    <row r="103" ht="15.75" customHeight="1">
      <c r="F103" s="124">
        <v>68.0</v>
      </c>
      <c r="G103" s="124">
        <v>68.0</v>
      </c>
    </row>
    <row r="104" ht="15.75" customHeight="1">
      <c r="F104" s="124">
        <v>68.0</v>
      </c>
      <c r="G104" s="124">
        <v>68.0</v>
      </c>
    </row>
    <row r="105" ht="15.75" customHeight="1">
      <c r="F105" s="124">
        <v>48.0</v>
      </c>
      <c r="G105" s="124">
        <v>48.0</v>
      </c>
    </row>
    <row r="106" ht="15.75" customHeight="1">
      <c r="F106" s="124">
        <v>1.0</v>
      </c>
      <c r="G106" s="124">
        <v>1.0</v>
      </c>
    </row>
    <row r="107" ht="15.75" customHeight="1">
      <c r="F107" s="124">
        <v>16.0</v>
      </c>
      <c r="G107" s="124">
        <v>16.0</v>
      </c>
    </row>
    <row r="108" ht="15.75" customHeight="1">
      <c r="F108" s="124">
        <v>3.0</v>
      </c>
      <c r="G108" s="124">
        <v>3.0</v>
      </c>
    </row>
    <row r="109" ht="15.75" customHeight="1">
      <c r="F109" s="124">
        <v>5.0</v>
      </c>
      <c r="G109" s="124">
        <v>5.0</v>
      </c>
    </row>
    <row r="110" ht="15.75" customHeight="1">
      <c r="F110" s="124">
        <v>68.0</v>
      </c>
      <c r="G110" s="124">
        <v>67.0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L1"/>
    <mergeCell ref="A2:L2"/>
    <mergeCell ref="A3:L3"/>
    <mergeCell ref="A4:L4"/>
    <mergeCell ref="A5:L5"/>
    <mergeCell ref="A6:L6"/>
    <mergeCell ref="A8:M8"/>
    <mergeCell ref="A35:B35"/>
    <mergeCell ref="F35:G35"/>
    <mergeCell ref="A9:M9"/>
    <mergeCell ref="A20:A21"/>
    <mergeCell ref="C20:D20"/>
    <mergeCell ref="E20:F20"/>
    <mergeCell ref="G20:H20"/>
    <mergeCell ref="I20:J20"/>
    <mergeCell ref="K20:L20"/>
  </mergeCells>
  <printOptions/>
  <pageMargins bottom="0.15748031496062992" footer="0.0" header="0.0" left="1.1023622047244095" right="1.1023622047244095" top="0.15748031496062992"/>
  <pageSetup orientation="landscape"/>
  <rowBreaks count="1" manualBreakCount="1">
    <brk id="35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5.75"/>
    <col customWidth="1" min="3" max="10" width="8.63"/>
    <col customWidth="1" min="11" max="11" width="12.0"/>
    <col customWidth="1" min="12" max="12" width="8.75"/>
    <col customWidth="1" min="13" max="13" width="7.13"/>
    <col customWidth="1" min="14" max="14" width="7.88"/>
    <col customWidth="1" min="15" max="15" width="8.0"/>
    <col customWidth="1" min="16" max="16" width="7.25"/>
    <col customWidth="1" min="17" max="17" width="15.75"/>
    <col customWidth="1" min="18" max="26" width="8.63"/>
  </cols>
  <sheetData>
    <row r="1" ht="15.0" customHeight="1">
      <c r="A1" s="1" t="s">
        <v>0</v>
      </c>
      <c r="M1" s="2"/>
      <c r="N1" s="2"/>
      <c r="O1" s="2"/>
      <c r="P1" s="2"/>
      <c r="Q1" s="2"/>
      <c r="R1" s="2"/>
    </row>
    <row r="2">
      <c r="A2" s="3" t="s">
        <v>1</v>
      </c>
      <c r="M2" s="4"/>
      <c r="N2" s="4"/>
      <c r="O2" s="4"/>
    </row>
    <row r="3" ht="18.75" customHeight="1">
      <c r="A3" s="5" t="s">
        <v>2</v>
      </c>
      <c r="M3" s="6"/>
      <c r="N3" s="6"/>
      <c r="O3" s="6"/>
      <c r="P3" s="6"/>
      <c r="Q3" s="6"/>
      <c r="R3" s="6"/>
      <c r="S3" s="6"/>
      <c r="T3" s="6"/>
      <c r="U3" s="6"/>
    </row>
    <row r="4" ht="15.0" customHeight="1">
      <c r="A4" s="1" t="s">
        <v>3</v>
      </c>
      <c r="M4" s="2"/>
      <c r="N4" s="2"/>
      <c r="O4" s="2"/>
      <c r="P4" s="2"/>
      <c r="Q4" s="2"/>
      <c r="R4" s="2"/>
      <c r="S4" s="2"/>
    </row>
    <row r="5" ht="15.0" customHeight="1">
      <c r="A5" s="1" t="s">
        <v>4</v>
      </c>
      <c r="M5" s="2"/>
      <c r="N5" s="2"/>
      <c r="O5" s="2"/>
      <c r="P5" s="2"/>
      <c r="Q5" s="2"/>
      <c r="R5" s="2"/>
      <c r="S5" s="2"/>
    </row>
    <row r="6" ht="15.0" customHeight="1">
      <c r="A6" s="7" t="s">
        <v>5</v>
      </c>
      <c r="M6" s="8"/>
      <c r="N6" s="8"/>
      <c r="O6" s="8"/>
      <c r="P6" s="8"/>
      <c r="Q6" s="8"/>
      <c r="R6" s="8"/>
      <c r="S6" s="8"/>
    </row>
    <row r="8">
      <c r="A8" s="9" t="s">
        <v>793</v>
      </c>
      <c r="K8" s="10"/>
      <c r="L8" s="10"/>
      <c r="M8" s="10"/>
      <c r="N8" s="10"/>
      <c r="O8" s="10"/>
      <c r="P8" s="10"/>
      <c r="Q8" s="10"/>
    </row>
    <row r="9">
      <c r="A9" s="24" t="s">
        <v>794</v>
      </c>
      <c r="K9" s="101"/>
      <c r="L9" s="101"/>
      <c r="M9" s="101"/>
      <c r="N9" s="102"/>
      <c r="O9" s="102"/>
    </row>
    <row r="10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01"/>
      <c r="L10" s="101"/>
      <c r="M10" s="101"/>
      <c r="N10" s="102"/>
      <c r="O10" s="102"/>
    </row>
    <row r="11" ht="19.5" customHeight="1">
      <c r="L11" s="101"/>
      <c r="M11" s="101"/>
      <c r="N11" s="102"/>
      <c r="O11" s="102"/>
    </row>
    <row r="15">
      <c r="A15" s="134"/>
      <c r="L15" s="149"/>
      <c r="M15" s="149"/>
      <c r="N15" s="149"/>
      <c r="O15" s="149"/>
      <c r="P15" s="149"/>
    </row>
    <row r="16" ht="15.75" customHeight="1">
      <c r="K16" s="149"/>
      <c r="L16" s="150"/>
      <c r="M16" s="150"/>
      <c r="N16" s="150"/>
      <c r="O16" s="150"/>
      <c r="P16" s="150"/>
      <c r="Q16" s="150"/>
      <c r="R16" s="151"/>
    </row>
    <row r="17" ht="15.75" customHeight="1">
      <c r="A17" s="152"/>
      <c r="K17" s="153"/>
      <c r="L17" s="153"/>
      <c r="M17" s="153"/>
      <c r="N17" s="153"/>
      <c r="O17" s="153"/>
      <c r="P17" s="153"/>
      <c r="Q17" s="153"/>
      <c r="R17" s="151"/>
    </row>
    <row r="18" ht="15.75" customHeight="1">
      <c r="A18" s="152"/>
      <c r="K18" s="153"/>
      <c r="L18" s="153"/>
      <c r="M18" s="153"/>
      <c r="N18" s="153"/>
      <c r="O18" s="153"/>
      <c r="P18" s="153"/>
      <c r="Q18" s="153"/>
      <c r="R18" s="151"/>
    </row>
    <row r="19" ht="15.75" customHeight="1">
      <c r="A19" s="152"/>
      <c r="K19" s="153"/>
      <c r="L19" s="153"/>
      <c r="M19" s="153"/>
      <c r="N19" s="153"/>
      <c r="O19" s="153"/>
      <c r="P19" s="153"/>
      <c r="Q19" s="153"/>
      <c r="R19" s="151"/>
    </row>
    <row r="20" ht="15.75" customHeight="1">
      <c r="A20" s="152"/>
      <c r="K20" s="153"/>
      <c r="L20" s="153"/>
      <c r="M20" s="153"/>
      <c r="N20" s="153"/>
      <c r="O20" s="153"/>
      <c r="P20" s="153"/>
      <c r="Q20" s="153"/>
      <c r="R20" s="151"/>
    </row>
    <row r="21" ht="15.75" customHeight="1">
      <c r="A21" s="151"/>
      <c r="K21" s="151"/>
      <c r="L21" s="151"/>
      <c r="M21" s="151"/>
      <c r="N21" s="151"/>
      <c r="O21" s="151"/>
      <c r="P21" s="151"/>
      <c r="Q21" s="151"/>
      <c r="R21" s="151"/>
    </row>
    <row r="22" ht="15.75" customHeight="1">
      <c r="Q22" s="107" t="s">
        <v>9</v>
      </c>
      <c r="R22" s="154"/>
      <c r="S22" s="154" t="s">
        <v>795</v>
      </c>
      <c r="T22" s="154"/>
      <c r="U22" s="154" t="s">
        <v>796</v>
      </c>
      <c r="V22" s="154"/>
      <c r="W22" s="154" t="s">
        <v>797</v>
      </c>
      <c r="X22" s="154"/>
      <c r="Y22" s="154" t="s">
        <v>798</v>
      </c>
    </row>
    <row r="23" ht="15.75" customHeight="1">
      <c r="Q23" s="154"/>
      <c r="R23" s="154"/>
      <c r="S23" s="154"/>
      <c r="T23" s="154"/>
      <c r="U23" s="154"/>
      <c r="V23" s="154"/>
      <c r="W23" s="154"/>
      <c r="X23" s="154"/>
      <c r="Y23" s="154"/>
    </row>
    <row r="24" ht="15.75" customHeight="1">
      <c r="Q24" s="155" t="s">
        <v>799</v>
      </c>
      <c r="R24" s="154"/>
      <c r="S24" s="156">
        <v>90.2</v>
      </c>
      <c r="T24" s="154"/>
      <c r="U24" s="157">
        <v>89.91</v>
      </c>
      <c r="V24" s="154"/>
      <c r="W24" s="157">
        <v>91.0</v>
      </c>
      <c r="X24" s="154"/>
      <c r="Y24" s="157">
        <v>82.7</v>
      </c>
    </row>
    <row r="25" ht="15.75" customHeight="1">
      <c r="Q25" s="154"/>
      <c r="R25" s="154"/>
      <c r="S25" s="154"/>
      <c r="T25" s="154"/>
      <c r="U25" s="154"/>
      <c r="V25" s="154"/>
      <c r="W25" s="154"/>
      <c r="X25" s="154"/>
      <c r="Y25" s="154"/>
    </row>
    <row r="26" ht="20.25" customHeight="1">
      <c r="Q26" s="158" t="s">
        <v>800</v>
      </c>
      <c r="R26" s="154"/>
      <c r="S26" s="156">
        <v>87.25</v>
      </c>
      <c r="T26" s="154"/>
      <c r="U26" s="157">
        <v>76.21</v>
      </c>
      <c r="V26" s="154"/>
      <c r="W26" s="157">
        <v>53.8</v>
      </c>
      <c r="X26" s="154"/>
      <c r="Y26" s="157">
        <v>22.4</v>
      </c>
    </row>
    <row r="27" ht="15.75" customHeight="1">
      <c r="B27" s="159" t="s">
        <v>9</v>
      </c>
      <c r="C27" s="160" t="s">
        <v>801</v>
      </c>
      <c r="D27" s="128"/>
      <c r="E27" s="160" t="s">
        <v>802</v>
      </c>
      <c r="F27" s="128"/>
      <c r="G27" s="160" t="s">
        <v>803</v>
      </c>
      <c r="H27" s="128"/>
      <c r="I27" s="160" t="s">
        <v>804</v>
      </c>
      <c r="J27" s="128"/>
      <c r="Q27" s="154"/>
      <c r="R27" s="154"/>
      <c r="S27" s="154"/>
      <c r="T27" s="154"/>
      <c r="U27" s="154"/>
      <c r="V27" s="154"/>
      <c r="W27" s="154"/>
      <c r="X27" s="154"/>
      <c r="Y27" s="154"/>
    </row>
    <row r="28" ht="15.75" customHeight="1">
      <c r="B28" s="161" t="s">
        <v>805</v>
      </c>
      <c r="C28" s="130">
        <v>204.0</v>
      </c>
      <c r="D28" s="128"/>
      <c r="E28" s="130">
        <v>206.0</v>
      </c>
      <c r="F28" s="128"/>
      <c r="G28" s="130">
        <v>200.0</v>
      </c>
      <c r="H28" s="128"/>
      <c r="I28" s="130">
        <v>174.0</v>
      </c>
      <c r="J28" s="128"/>
      <c r="Q28" s="154"/>
      <c r="R28" s="154"/>
      <c r="S28" s="154"/>
      <c r="T28" s="154"/>
      <c r="U28" s="154"/>
      <c r="V28" s="154"/>
      <c r="W28" s="154"/>
      <c r="X28" s="154"/>
      <c r="Y28" s="154"/>
    </row>
    <row r="29" ht="23.25" customHeight="1">
      <c r="B29" s="162" t="s">
        <v>799</v>
      </c>
      <c r="C29" s="163">
        <v>184.0</v>
      </c>
      <c r="D29" s="164">
        <v>90.2</v>
      </c>
      <c r="E29" s="165">
        <v>185.0</v>
      </c>
      <c r="F29" s="166">
        <v>89.91</v>
      </c>
      <c r="G29" s="165">
        <v>182.0</v>
      </c>
      <c r="H29" s="166">
        <v>91.0</v>
      </c>
      <c r="I29" s="165">
        <v>144.0</v>
      </c>
      <c r="J29" s="166">
        <v>82.7</v>
      </c>
      <c r="Q29" s="158" t="s">
        <v>806</v>
      </c>
      <c r="R29" s="154"/>
      <c r="S29" s="156">
        <v>5.89</v>
      </c>
      <c r="T29" s="154"/>
      <c r="U29" s="157">
        <v>16.5</v>
      </c>
      <c r="V29" s="154"/>
      <c r="W29" s="157">
        <v>45.0</v>
      </c>
      <c r="X29" s="154"/>
      <c r="Y29" s="157">
        <v>55.1</v>
      </c>
    </row>
    <row r="30" ht="15.75" customHeight="1">
      <c r="B30" s="167" t="s">
        <v>800</v>
      </c>
      <c r="C30" s="168">
        <v>178.0</v>
      </c>
      <c r="D30" s="164">
        <v>87.25</v>
      </c>
      <c r="E30" s="169">
        <v>157.0</v>
      </c>
      <c r="F30" s="166">
        <v>76.21</v>
      </c>
      <c r="G30" s="170">
        <v>98.0</v>
      </c>
      <c r="H30" s="171">
        <v>53.8</v>
      </c>
      <c r="I30" s="170">
        <v>40.0</v>
      </c>
      <c r="J30" s="171">
        <v>22.4</v>
      </c>
      <c r="Q30" s="154"/>
      <c r="R30" s="154"/>
      <c r="S30" s="154"/>
      <c r="T30" s="154"/>
      <c r="U30" s="154"/>
      <c r="V30" s="154"/>
      <c r="W30" s="154"/>
      <c r="X30" s="154"/>
      <c r="Y30" s="154"/>
    </row>
    <row r="31" ht="15.75" customHeight="1">
      <c r="B31" s="167" t="s">
        <v>806</v>
      </c>
      <c r="C31" s="168">
        <v>12.0</v>
      </c>
      <c r="D31" s="164">
        <v>5.89</v>
      </c>
      <c r="E31" s="169">
        <v>34.0</v>
      </c>
      <c r="F31" s="172">
        <v>16.5</v>
      </c>
      <c r="G31" s="173">
        <v>82.0</v>
      </c>
      <c r="H31" s="174">
        <v>45.0</v>
      </c>
      <c r="I31" s="175">
        <v>96.0</v>
      </c>
      <c r="J31" s="174">
        <v>55.1</v>
      </c>
      <c r="Q31" s="158" t="s">
        <v>807</v>
      </c>
      <c r="R31" s="154"/>
      <c r="S31" s="156">
        <v>6.86</v>
      </c>
      <c r="T31" s="154"/>
      <c r="U31" s="157">
        <v>7.29</v>
      </c>
      <c r="V31" s="154"/>
      <c r="W31" s="157">
        <v>1.2</v>
      </c>
      <c r="X31" s="154"/>
      <c r="Y31" s="157">
        <v>27.5</v>
      </c>
    </row>
    <row r="32" ht="15.75" customHeight="1">
      <c r="B32" s="167" t="s">
        <v>807</v>
      </c>
      <c r="C32" s="168">
        <v>14.0</v>
      </c>
      <c r="D32" s="164">
        <v>6.86</v>
      </c>
      <c r="E32" s="169">
        <v>15.0</v>
      </c>
      <c r="F32" s="172">
        <v>7.29</v>
      </c>
      <c r="G32" s="176">
        <v>2.0</v>
      </c>
      <c r="H32" s="177">
        <v>1.2</v>
      </c>
      <c r="I32" s="178">
        <v>48.0</v>
      </c>
      <c r="J32" s="179">
        <v>27.5</v>
      </c>
      <c r="Q32" s="154"/>
      <c r="R32" s="154"/>
      <c r="S32" s="154"/>
      <c r="T32" s="154"/>
      <c r="U32" s="154"/>
      <c r="V32" s="154"/>
      <c r="W32" s="154"/>
      <c r="X32" s="154"/>
      <c r="Y32" s="154"/>
    </row>
    <row r="33" ht="15.75" customHeight="1">
      <c r="B33" s="180"/>
      <c r="C33" s="180"/>
      <c r="D33" s="134"/>
      <c r="E33" s="134"/>
      <c r="F33" s="134"/>
      <c r="G33" s="181"/>
      <c r="I33" s="181"/>
      <c r="K33" s="182"/>
    </row>
    <row r="34" ht="15.75" customHeight="1">
      <c r="K34" s="182"/>
      <c r="L34" s="183"/>
      <c r="M34" s="183"/>
    </row>
    <row r="35" ht="15.75" customHeight="1">
      <c r="G35" s="181"/>
      <c r="I35" s="184"/>
      <c r="K35" s="182"/>
    </row>
    <row r="36" ht="15.75" customHeight="1">
      <c r="G36" s="185"/>
      <c r="H36" s="186"/>
      <c r="I36" s="185"/>
      <c r="J36" s="187"/>
      <c r="K36" s="182"/>
    </row>
    <row r="37" ht="15.75" customHeight="1">
      <c r="G37" s="181"/>
      <c r="H37" s="184"/>
      <c r="I37" s="188"/>
      <c r="J37" s="189"/>
      <c r="K37" s="182"/>
    </row>
    <row r="38" ht="15.75" customHeight="1">
      <c r="G38" s="181"/>
      <c r="H38" s="184"/>
      <c r="I38" s="188"/>
      <c r="J38" s="189"/>
      <c r="K38" s="182"/>
    </row>
    <row r="39" ht="15.75" customHeight="1">
      <c r="A39" s="146" t="s">
        <v>684</v>
      </c>
      <c r="C39" s="100"/>
      <c r="D39" s="114"/>
      <c r="E39" s="21" t="s">
        <v>685</v>
      </c>
      <c r="G39" s="181"/>
      <c r="H39" s="184"/>
      <c r="I39" s="188"/>
      <c r="J39" s="189"/>
      <c r="K39" s="22" t="s">
        <v>686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X77" s="159"/>
      <c r="Y77" s="130"/>
      <c r="Z77" s="128"/>
      <c r="AA77" s="130"/>
      <c r="AB77" s="128"/>
      <c r="AC77" s="130"/>
      <c r="AD77" s="128"/>
      <c r="AE77" s="130"/>
      <c r="AF77" s="128"/>
    </row>
    <row r="78" ht="15.75" customHeight="1">
      <c r="X78" s="190"/>
      <c r="Y78" s="163"/>
      <c r="Z78" s="164"/>
      <c r="AA78" s="165"/>
      <c r="AB78" s="166"/>
      <c r="AC78" s="165"/>
      <c r="AD78" s="166"/>
      <c r="AE78" s="165"/>
      <c r="AF78" s="166"/>
    </row>
    <row r="79" ht="15.75" customHeight="1">
      <c r="X79" s="167"/>
      <c r="Y79" s="168"/>
      <c r="Z79" s="164"/>
      <c r="AA79" s="169"/>
      <c r="AB79" s="166"/>
      <c r="AC79" s="169"/>
      <c r="AD79" s="166"/>
      <c r="AE79" s="169"/>
      <c r="AF79" s="166"/>
    </row>
    <row r="80" ht="15.75" customHeight="1">
      <c r="X80" s="167"/>
      <c r="Y80" s="168"/>
      <c r="Z80" s="164"/>
      <c r="AA80" s="169"/>
      <c r="AB80" s="166"/>
      <c r="AC80" s="169"/>
      <c r="AD80" s="166"/>
      <c r="AE80" s="169"/>
      <c r="AF80" s="166"/>
    </row>
    <row r="81" ht="15.75" customHeight="1">
      <c r="X81" s="167"/>
      <c r="Y81" s="168"/>
      <c r="Z81" s="164"/>
      <c r="AA81" s="169"/>
      <c r="AB81" s="166"/>
      <c r="AC81" s="169"/>
      <c r="AD81" s="166"/>
      <c r="AE81" s="169"/>
      <c r="AF81" s="166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L1"/>
    <mergeCell ref="A2:L2"/>
    <mergeCell ref="A3:L3"/>
    <mergeCell ref="A4:L4"/>
    <mergeCell ref="A5:L5"/>
    <mergeCell ref="A6:L6"/>
    <mergeCell ref="A8:J8"/>
    <mergeCell ref="A9:J9"/>
    <mergeCell ref="A15:A16"/>
    <mergeCell ref="C27:D27"/>
    <mergeCell ref="E27:F27"/>
    <mergeCell ref="G27:H27"/>
    <mergeCell ref="I27:J27"/>
    <mergeCell ref="C28:D28"/>
    <mergeCell ref="I28:J28"/>
    <mergeCell ref="I35:J35"/>
    <mergeCell ref="Y77:Z77"/>
    <mergeCell ref="AA77:AB77"/>
    <mergeCell ref="AC77:AD77"/>
    <mergeCell ref="AE77:AF77"/>
    <mergeCell ref="E28:F28"/>
    <mergeCell ref="G28:H28"/>
    <mergeCell ref="G33:H34"/>
    <mergeCell ref="I33:J34"/>
    <mergeCell ref="G35:H35"/>
    <mergeCell ref="A39:B39"/>
    <mergeCell ref="E39:F39"/>
  </mergeCells>
  <printOptions/>
  <pageMargins bottom="0.1968503937007874" footer="0.0" header="0.0" left="2.1653543307086616" right="1.1811023622047245" top="0.1968503937007874"/>
  <pageSetup scale="77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2.38"/>
    <col customWidth="1" min="3" max="3" width="42.88"/>
    <col customWidth="1" min="4" max="4" width="26.38"/>
    <col customWidth="1" min="5" max="5" width="33.13"/>
    <col customWidth="1" min="6" max="6" width="8.63"/>
    <col customWidth="1" min="7" max="7" width="8.75"/>
    <col customWidth="1" min="8" max="8" width="9.75"/>
    <col customWidth="1" min="9" max="9" width="10.75"/>
    <col customWidth="1" min="10" max="10" width="12.13"/>
    <col customWidth="1" min="11" max="11" width="12.0"/>
    <col customWidth="1" min="12" max="12" width="8.75"/>
    <col customWidth="1" min="13" max="13" width="7.13"/>
    <col customWidth="1" min="14" max="14" width="7.88"/>
    <col customWidth="1" min="15" max="15" width="8.0"/>
    <col customWidth="1" min="16" max="16" width="7.25"/>
    <col customWidth="1" min="17" max="17" width="9.13"/>
    <col customWidth="1" min="18" max="21" width="8.63"/>
  </cols>
  <sheetData>
    <row r="1" ht="15.0" customHeight="1">
      <c r="A1" s="1" t="s">
        <v>0</v>
      </c>
      <c r="E1" s="23"/>
      <c r="F1" s="23"/>
      <c r="G1" s="23"/>
      <c r="H1" s="23"/>
      <c r="I1" s="23"/>
      <c r="J1" s="2"/>
      <c r="K1" s="2"/>
      <c r="L1" s="2"/>
      <c r="M1" s="2"/>
      <c r="N1" s="2"/>
      <c r="O1" s="2"/>
      <c r="P1" s="2"/>
      <c r="Q1" s="2"/>
      <c r="R1" s="2"/>
      <c r="S1" s="23"/>
      <c r="T1" s="23"/>
      <c r="U1" s="23"/>
      <c r="V1" s="23"/>
      <c r="W1" s="23"/>
      <c r="X1" s="23"/>
      <c r="Y1" s="23"/>
      <c r="Z1" s="23"/>
    </row>
    <row r="2">
      <c r="A2" s="3" t="s">
        <v>1</v>
      </c>
      <c r="E2" s="23"/>
      <c r="F2" s="23"/>
      <c r="G2" s="23"/>
      <c r="H2" s="23"/>
      <c r="I2" s="23"/>
      <c r="J2" s="4"/>
      <c r="K2" s="4"/>
      <c r="L2" s="4"/>
      <c r="M2" s="4"/>
      <c r="N2" s="4"/>
      <c r="O2" s="4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8.75" customHeight="1">
      <c r="A3" s="5" t="s">
        <v>2</v>
      </c>
      <c r="E3" s="23"/>
      <c r="F3" s="23"/>
      <c r="G3" s="23"/>
      <c r="H3" s="23"/>
      <c r="I3" s="2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23"/>
      <c r="W3" s="23"/>
      <c r="X3" s="23"/>
      <c r="Y3" s="23"/>
      <c r="Z3" s="23"/>
    </row>
    <row r="4" ht="15.0" customHeight="1">
      <c r="A4" s="1" t="s">
        <v>3</v>
      </c>
      <c r="E4" s="23"/>
      <c r="F4" s="23"/>
      <c r="G4" s="23"/>
      <c r="H4" s="23"/>
      <c r="I4" s="23"/>
      <c r="J4" s="2"/>
      <c r="K4" s="2"/>
      <c r="L4" s="2"/>
      <c r="M4" s="2"/>
      <c r="N4" s="2"/>
      <c r="O4" s="2"/>
      <c r="P4" s="2"/>
      <c r="Q4" s="2"/>
      <c r="R4" s="2"/>
      <c r="S4" s="2"/>
      <c r="T4" s="23"/>
      <c r="U4" s="23"/>
      <c r="V4" s="23"/>
      <c r="W4" s="23"/>
      <c r="X4" s="23"/>
      <c r="Y4" s="23"/>
      <c r="Z4" s="23"/>
    </row>
    <row r="5" ht="15.0" customHeight="1">
      <c r="A5" s="1" t="s">
        <v>4</v>
      </c>
      <c r="E5" s="2"/>
      <c r="F5" s="2"/>
      <c r="G5" s="2"/>
      <c r="H5" s="2"/>
      <c r="I5" s="2"/>
      <c r="J5" s="23"/>
      <c r="K5" s="2"/>
      <c r="L5" s="2"/>
      <c r="M5" s="2"/>
      <c r="N5" s="2"/>
      <c r="O5" s="2"/>
      <c r="P5" s="2"/>
      <c r="Q5" s="2"/>
      <c r="R5" s="2"/>
      <c r="S5" s="2"/>
      <c r="T5" s="23"/>
      <c r="U5" s="23"/>
      <c r="V5" s="23"/>
      <c r="W5" s="23"/>
      <c r="X5" s="23"/>
      <c r="Y5" s="23"/>
      <c r="Z5" s="23"/>
    </row>
    <row r="6" ht="15.0" customHeight="1">
      <c r="A6" s="7" t="s">
        <v>808</v>
      </c>
      <c r="E6" s="8"/>
      <c r="F6" s="8"/>
      <c r="G6" s="8"/>
      <c r="H6" s="8"/>
      <c r="I6" s="8"/>
      <c r="J6" s="23"/>
      <c r="K6" s="8"/>
      <c r="L6" s="8"/>
      <c r="M6" s="8"/>
      <c r="N6" s="8"/>
      <c r="O6" s="8"/>
      <c r="P6" s="8"/>
      <c r="Q6" s="8"/>
      <c r="R6" s="8"/>
      <c r="S6" s="8"/>
      <c r="T6" s="23"/>
      <c r="U6" s="23"/>
      <c r="V6" s="23"/>
      <c r="W6" s="23"/>
      <c r="X6" s="23"/>
      <c r="Y6" s="23"/>
      <c r="Z6" s="23"/>
    </row>
    <row r="7">
      <c r="A7" s="23"/>
      <c r="B7" s="23"/>
      <c r="C7" s="19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9" t="s">
        <v>809</v>
      </c>
      <c r="E8" s="23"/>
      <c r="F8" s="23"/>
      <c r="G8" s="23"/>
      <c r="H8" s="23"/>
      <c r="I8" s="23"/>
      <c r="J8" s="10"/>
      <c r="K8" s="10"/>
      <c r="L8" s="10"/>
      <c r="M8" s="10"/>
      <c r="N8" s="10"/>
      <c r="O8" s="10"/>
      <c r="P8" s="10"/>
      <c r="Q8" s="10"/>
      <c r="R8" s="23"/>
      <c r="S8" s="23"/>
      <c r="T8" s="23"/>
      <c r="U8" s="23"/>
      <c r="V8" s="23"/>
      <c r="W8" s="23"/>
      <c r="X8" s="23"/>
      <c r="Y8" s="23"/>
      <c r="Z8" s="23"/>
    </row>
    <row r="9" ht="32.25" customHeight="1">
      <c r="A9" s="180"/>
      <c r="B9" s="192"/>
      <c r="C9" s="149"/>
      <c r="D9" s="23"/>
      <c r="E9" s="193"/>
      <c r="F9" s="193"/>
      <c r="G9" s="193"/>
      <c r="H9" s="193"/>
      <c r="I9" s="193"/>
      <c r="J9" s="193"/>
      <c r="K9" s="23"/>
      <c r="L9" s="149"/>
      <c r="M9" s="149"/>
      <c r="N9" s="149"/>
      <c r="O9" s="149"/>
      <c r="P9" s="149"/>
      <c r="Q9" s="149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149"/>
      <c r="L10" s="150"/>
      <c r="M10" s="150"/>
      <c r="N10" s="150"/>
      <c r="O10" s="150"/>
      <c r="P10" s="150"/>
      <c r="Q10" s="150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101" t="s">
        <v>810</v>
      </c>
      <c r="B11" s="194" t="s">
        <v>811</v>
      </c>
      <c r="C11" s="195" t="s">
        <v>812</v>
      </c>
      <c r="D11" s="101"/>
      <c r="E11" s="23"/>
      <c r="F11" s="23"/>
      <c r="G11" s="23"/>
      <c r="H11" s="101"/>
      <c r="I11" s="56"/>
      <c r="J11" s="23"/>
      <c r="K11" s="153"/>
      <c r="L11" s="153"/>
      <c r="M11" s="153"/>
      <c r="N11" s="153"/>
      <c r="O11" s="153"/>
      <c r="P11" s="153"/>
      <c r="Q11" s="15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152"/>
      <c r="B12" s="23"/>
      <c r="C12" s="23"/>
      <c r="D12" s="152"/>
      <c r="E12" s="152"/>
      <c r="F12" s="196"/>
      <c r="G12" s="196"/>
      <c r="H12" s="152"/>
      <c r="I12" s="152"/>
      <c r="J12" s="196"/>
      <c r="K12" s="153"/>
      <c r="L12" s="153"/>
      <c r="M12" s="153"/>
      <c r="N12" s="153"/>
      <c r="O12" s="153"/>
      <c r="P12" s="153"/>
      <c r="Q12" s="15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97" t="s">
        <v>813</v>
      </c>
      <c r="B13" s="198" t="s">
        <v>814</v>
      </c>
      <c r="C13" s="198" t="s">
        <v>815</v>
      </c>
      <c r="D13" s="199" t="s">
        <v>759</v>
      </c>
      <c r="E13" s="23"/>
      <c r="F13" s="23"/>
      <c r="G13" s="200"/>
      <c r="H13" s="191"/>
      <c r="I13" s="152"/>
      <c r="J13" s="201"/>
      <c r="K13" s="153"/>
      <c r="L13" s="153"/>
      <c r="M13" s="153"/>
      <c r="N13" s="153"/>
      <c r="O13" s="153"/>
      <c r="P13" s="153"/>
      <c r="Q13" s="15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08"/>
      <c r="B14" s="108"/>
      <c r="C14" s="108"/>
      <c r="D14" s="199" t="s">
        <v>21</v>
      </c>
      <c r="E14" s="23"/>
      <c r="F14" s="23"/>
      <c r="H14" s="191"/>
      <c r="I14" s="5"/>
      <c r="J14" s="23"/>
      <c r="K14" s="153"/>
      <c r="L14" s="153"/>
      <c r="M14" s="153"/>
      <c r="N14" s="153"/>
      <c r="O14" s="153"/>
      <c r="P14" s="153"/>
      <c r="Q14" s="15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02">
        <v>1.0</v>
      </c>
      <c r="B15" s="203"/>
      <c r="C15" s="204"/>
      <c r="D15" s="205">
        <v>10.0</v>
      </c>
      <c r="E15" s="23"/>
      <c r="F15" s="23"/>
      <c r="G15" s="23"/>
      <c r="H15" s="23"/>
      <c r="I15" s="56"/>
      <c r="J15" s="23"/>
      <c r="K15" s="153"/>
      <c r="L15" s="153"/>
      <c r="M15" s="153"/>
      <c r="N15" s="153"/>
      <c r="O15" s="153"/>
      <c r="P15" s="153"/>
      <c r="Q15" s="15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02">
        <v>2.0</v>
      </c>
      <c r="B16" s="203"/>
      <c r="C16" s="204"/>
      <c r="D16" s="205">
        <v>9.8</v>
      </c>
      <c r="E16" s="23"/>
      <c r="F16" s="23"/>
      <c r="G16" s="23"/>
      <c r="H16" s="23"/>
      <c r="I16" s="56"/>
      <c r="J16" s="23"/>
      <c r="K16" s="153"/>
      <c r="L16" s="153"/>
      <c r="M16" s="153"/>
      <c r="N16" s="153"/>
      <c r="O16" s="153"/>
      <c r="P16" s="153"/>
      <c r="Q16" s="15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06">
        <v>3.0</v>
      </c>
      <c r="B17" s="207"/>
      <c r="C17" s="208"/>
      <c r="D17" s="205">
        <v>9.75</v>
      </c>
      <c r="E17" s="23"/>
      <c r="F17" s="23"/>
      <c r="G17" s="23"/>
      <c r="H17" s="23"/>
      <c r="I17" s="152"/>
      <c r="J17" s="196"/>
      <c r="K17" s="153"/>
      <c r="L17" s="153"/>
      <c r="M17" s="153"/>
      <c r="N17" s="153"/>
      <c r="O17" s="153"/>
      <c r="P17" s="153"/>
      <c r="Q17" s="15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02">
        <v>3.0</v>
      </c>
      <c r="B18" s="203"/>
      <c r="C18" s="204"/>
      <c r="D18" s="205">
        <v>9.65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02">
        <v>4.0</v>
      </c>
      <c r="B19" s="203"/>
      <c r="C19" s="204"/>
      <c r="D19" s="205">
        <v>9.65</v>
      </c>
      <c r="E19" s="23"/>
      <c r="F19" s="23"/>
      <c r="G19" s="23"/>
      <c r="H19" s="23"/>
      <c r="I19" s="23"/>
      <c r="J19" s="23" t="s">
        <v>816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09">
        <v>5.0</v>
      </c>
      <c r="B20" s="210"/>
      <c r="C20" s="211"/>
      <c r="D20" s="212">
        <v>9.65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02">
        <v>6.0</v>
      </c>
      <c r="B21" s="203"/>
      <c r="C21" s="204"/>
      <c r="D21" s="205">
        <v>9.65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02">
        <v>7.0</v>
      </c>
      <c r="B22" s="203"/>
      <c r="C22" s="204"/>
      <c r="D22" s="205">
        <v>9.6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02">
        <v>8.0</v>
      </c>
      <c r="B23" s="203"/>
      <c r="C23" s="204"/>
      <c r="D23" s="205">
        <v>9.55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02">
        <v>9.0</v>
      </c>
      <c r="B24" s="203"/>
      <c r="C24" s="204"/>
      <c r="D24" s="205">
        <v>9.55</v>
      </c>
      <c r="E24" s="23"/>
      <c r="F24" s="23"/>
      <c r="G24" s="23"/>
      <c r="H24" s="23"/>
      <c r="I24" s="21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02">
        <v>10.0</v>
      </c>
      <c r="B25" s="203"/>
      <c r="C25" s="204"/>
      <c r="D25" s="205">
        <v>9.5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02">
        <v>11.0</v>
      </c>
      <c r="B26" s="203"/>
      <c r="C26" s="204"/>
      <c r="D26" s="205">
        <v>9.45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02">
        <v>12.0</v>
      </c>
      <c r="B27" s="203"/>
      <c r="C27" s="204"/>
      <c r="D27" s="205">
        <v>9.45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02">
        <v>13.0</v>
      </c>
      <c r="B28" s="203"/>
      <c r="C28" s="204"/>
      <c r="D28" s="205">
        <v>9.45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02">
        <v>14.0</v>
      </c>
      <c r="B29" s="203"/>
      <c r="C29" s="204"/>
      <c r="D29" s="205">
        <v>9.45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02">
        <v>15.0</v>
      </c>
      <c r="B30" s="203"/>
      <c r="C30" s="204"/>
      <c r="D30" s="205">
        <v>9.45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02">
        <v>16.0</v>
      </c>
      <c r="B31" s="202"/>
      <c r="C31" s="204"/>
      <c r="D31" s="205">
        <v>9.45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99" t="s">
        <v>684</v>
      </c>
      <c r="B37" s="21" t="s">
        <v>685</v>
      </c>
      <c r="D37" s="22" t="s">
        <v>686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/>
      <c r="B38" s="23"/>
      <c r="C38" s="191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/>
      <c r="B39" s="23"/>
      <c r="C39" s="191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/>
      <c r="B40" s="23"/>
      <c r="C40" s="191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191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191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/>
      <c r="B43" s="23"/>
      <c r="C43" s="191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191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191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191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191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191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191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191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/>
      <c r="B51" s="23"/>
      <c r="C51" s="191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191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191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191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191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191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191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191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191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191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191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191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191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191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191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191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191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191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191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191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191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191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191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191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191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191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191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191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191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191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191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191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191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191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191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191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191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191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191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191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191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191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191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191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191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191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191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191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191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191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191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191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191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191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191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191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191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191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191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191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191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191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191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191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191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191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191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191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191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191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191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191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191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191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191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191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191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191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191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191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191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191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191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191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191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191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191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191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191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191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191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191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191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191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191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191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191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191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191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191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191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191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191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191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191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191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191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191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191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191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191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191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191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191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191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191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191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191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191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191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191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191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191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191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191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191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191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191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191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191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191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191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191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191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191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191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191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191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191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191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191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191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191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191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191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191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191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191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191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191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191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191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191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191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191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191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191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191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191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191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191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191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191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191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191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191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191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191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191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191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191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191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191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191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191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191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191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191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191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191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191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191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191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191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191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191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191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2">
    <mergeCell ref="A13:A14"/>
    <mergeCell ref="B13:B14"/>
    <mergeCell ref="C13:C14"/>
    <mergeCell ref="G13:G14"/>
    <mergeCell ref="A1:D1"/>
    <mergeCell ref="A2:D2"/>
    <mergeCell ref="A3:D3"/>
    <mergeCell ref="A4:D4"/>
    <mergeCell ref="A5:D5"/>
    <mergeCell ref="A6:D6"/>
    <mergeCell ref="A8:D8"/>
    <mergeCell ref="B37:C37"/>
  </mergeCells>
  <printOptions/>
  <pageMargins bottom="0.1968503937007874" footer="0.0" header="0.0" left="1.1811023622047245" right="1.1811023622047245" top="0.984251968503937"/>
  <pageSetup scale="6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3.63"/>
    <col customWidth="1" min="3" max="3" width="24.88"/>
    <col customWidth="1" min="4" max="4" width="11.25"/>
    <col customWidth="1" min="5" max="5" width="9.88"/>
    <col customWidth="1" min="6" max="6" width="5.75"/>
    <col customWidth="1" min="7" max="7" width="5.63"/>
    <col customWidth="1" min="8" max="8" width="6.63"/>
    <col customWidth="1" min="9" max="9" width="5.63"/>
    <col customWidth="1" min="10" max="10" width="7.75"/>
    <col customWidth="1" min="11" max="11" width="6.0"/>
    <col customWidth="1" min="12" max="12" width="11.88"/>
    <col customWidth="1" min="13" max="13" width="7.25"/>
    <col customWidth="1" min="14" max="14" width="9.13"/>
    <col customWidth="1" min="15" max="15" width="13.25"/>
    <col customWidth="1" min="16" max="16" width="15.88"/>
    <col customWidth="1" min="17" max="18" width="8.63"/>
  </cols>
  <sheetData>
    <row r="1" ht="15.0" customHeight="1">
      <c r="A1" s="1" t="s">
        <v>0</v>
      </c>
      <c r="M1" s="2"/>
      <c r="N1" s="2"/>
      <c r="O1" s="2"/>
    </row>
    <row r="2">
      <c r="A2" s="3" t="s">
        <v>1</v>
      </c>
    </row>
    <row r="3" ht="18.75" customHeight="1">
      <c r="A3" s="5" t="s">
        <v>2</v>
      </c>
      <c r="M3" s="6"/>
      <c r="N3" s="6"/>
      <c r="O3" s="6"/>
      <c r="P3" s="6"/>
      <c r="Q3" s="6"/>
      <c r="R3" s="6"/>
    </row>
    <row r="4" ht="15.0" customHeight="1">
      <c r="A4" s="1" t="s">
        <v>3</v>
      </c>
      <c r="M4" s="2"/>
      <c r="N4" s="2"/>
      <c r="O4" s="2"/>
      <c r="P4" s="2"/>
    </row>
    <row r="5" ht="15.0" customHeight="1">
      <c r="A5" s="1" t="s">
        <v>4</v>
      </c>
      <c r="M5" s="2"/>
      <c r="N5" s="2"/>
      <c r="O5" s="2"/>
      <c r="P5" s="2"/>
    </row>
    <row r="6" ht="15.0" customHeight="1">
      <c r="A6" s="7" t="s">
        <v>5</v>
      </c>
      <c r="M6" s="8"/>
      <c r="N6" s="8"/>
      <c r="O6" s="8"/>
      <c r="P6" s="8"/>
    </row>
    <row r="8">
      <c r="A8" s="9" t="s">
        <v>817</v>
      </c>
      <c r="M8" s="10"/>
      <c r="N8" s="10"/>
    </row>
    <row r="9">
      <c r="A9" s="24" t="s">
        <v>818</v>
      </c>
    </row>
    <row r="10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2"/>
    </row>
    <row r="11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2"/>
    </row>
    <row r="12">
      <c r="A12" s="214" t="s">
        <v>813</v>
      </c>
      <c r="B12" s="215" t="s">
        <v>819</v>
      </c>
      <c r="C12" s="215" t="s">
        <v>814</v>
      </c>
      <c r="D12" s="216" t="s">
        <v>759</v>
      </c>
      <c r="E12" s="217"/>
      <c r="F12" s="217"/>
      <c r="G12" s="217"/>
      <c r="H12" s="217"/>
      <c r="I12" s="217"/>
      <c r="J12" s="217"/>
      <c r="K12" s="106"/>
      <c r="L12" s="218" t="s">
        <v>820</v>
      </c>
    </row>
    <row r="13">
      <c r="A13" s="219"/>
      <c r="B13" s="219"/>
      <c r="C13" s="219"/>
      <c r="D13" s="215" t="s">
        <v>770</v>
      </c>
      <c r="E13" s="215" t="s">
        <v>771</v>
      </c>
      <c r="F13" s="218" t="s">
        <v>772</v>
      </c>
      <c r="G13" s="220" t="s">
        <v>821</v>
      </c>
      <c r="H13" s="220" t="s">
        <v>21</v>
      </c>
      <c r="I13" s="221" t="s">
        <v>774</v>
      </c>
      <c r="J13" s="215" t="s">
        <v>775</v>
      </c>
      <c r="K13" s="215" t="s">
        <v>776</v>
      </c>
      <c r="L13" s="222"/>
    </row>
    <row r="14">
      <c r="A14" s="223"/>
      <c r="B14" s="154"/>
      <c r="C14" s="154"/>
      <c r="D14" s="112"/>
      <c r="E14" s="112"/>
      <c r="F14" s="112"/>
      <c r="G14" s="206"/>
      <c r="H14" s="154"/>
      <c r="I14" s="223"/>
      <c r="J14" s="223"/>
      <c r="K14" s="224"/>
      <c r="L14" s="225"/>
      <c r="M14" s="183"/>
    </row>
    <row r="15">
      <c r="A15" s="223"/>
      <c r="B15" s="154"/>
      <c r="C15" s="154"/>
      <c r="D15" s="112"/>
      <c r="E15" s="112"/>
      <c r="F15" s="112"/>
      <c r="G15" s="206"/>
      <c r="H15" s="154"/>
      <c r="I15" s="223"/>
      <c r="J15" s="223"/>
      <c r="K15" s="224"/>
      <c r="L15" s="225"/>
      <c r="M15" s="183"/>
    </row>
    <row r="16">
      <c r="A16" s="223"/>
      <c r="B16" s="154"/>
      <c r="C16" s="154"/>
      <c r="D16" s="112"/>
      <c r="E16" s="112"/>
      <c r="F16" s="112"/>
      <c r="G16" s="206"/>
      <c r="H16" s="154"/>
      <c r="I16" s="112"/>
      <c r="J16" s="223"/>
      <c r="K16" s="224"/>
      <c r="L16" s="225"/>
      <c r="M16" s="183"/>
    </row>
    <row r="17">
      <c r="A17" s="223"/>
      <c r="B17" s="154"/>
      <c r="C17" s="154"/>
      <c r="D17" s="223"/>
      <c r="E17" s="223"/>
      <c r="F17" s="223"/>
      <c r="G17" s="206"/>
      <c r="H17" s="154"/>
      <c r="I17" s="223"/>
      <c r="J17" s="223"/>
      <c r="K17" s="224"/>
      <c r="L17" s="225"/>
      <c r="M17" s="183"/>
    </row>
    <row r="18">
      <c r="A18" s="223"/>
      <c r="B18" s="154"/>
      <c r="C18" s="154"/>
      <c r="D18" s="223"/>
      <c r="E18" s="223"/>
      <c r="F18" s="112"/>
      <c r="G18" s="206"/>
      <c r="H18" s="154"/>
      <c r="I18" s="112"/>
      <c r="J18" s="223"/>
      <c r="K18" s="224"/>
      <c r="L18" s="225"/>
      <c r="M18" s="183"/>
    </row>
    <row r="19">
      <c r="A19" s="223"/>
      <c r="B19" s="154"/>
      <c r="C19" s="154"/>
      <c r="D19" s="112"/>
      <c r="E19" s="112"/>
      <c r="F19" s="223"/>
      <c r="G19" s="206"/>
      <c r="H19" s="154"/>
      <c r="I19" s="223"/>
      <c r="J19" s="223"/>
      <c r="K19" s="224"/>
      <c r="L19" s="225"/>
      <c r="M19" s="183"/>
    </row>
    <row r="20">
      <c r="A20" s="223"/>
      <c r="B20" s="154"/>
      <c r="C20" s="154"/>
      <c r="D20" s="112"/>
      <c r="E20" s="112"/>
      <c r="F20" s="112"/>
      <c r="G20" s="206"/>
      <c r="H20" s="154"/>
      <c r="I20" s="112"/>
      <c r="J20" s="223"/>
      <c r="K20" s="224"/>
      <c r="L20" s="225"/>
      <c r="M20" s="183"/>
    </row>
    <row r="21" ht="15.75" customHeight="1">
      <c r="A21" s="223"/>
      <c r="B21" s="154"/>
      <c r="C21" s="154"/>
      <c r="D21" s="112"/>
      <c r="E21" s="112"/>
      <c r="F21" s="223"/>
      <c r="G21" s="206"/>
      <c r="H21" s="154"/>
      <c r="I21" s="223"/>
      <c r="J21" s="223"/>
      <c r="K21" s="224"/>
      <c r="L21" s="225"/>
      <c r="M21" s="183"/>
    </row>
    <row r="22" ht="15.75" customHeight="1">
      <c r="A22" s="223"/>
      <c r="B22" s="154"/>
      <c r="C22" s="154"/>
      <c r="D22" s="223"/>
      <c r="E22" s="223"/>
      <c r="F22" s="112"/>
      <c r="G22" s="206"/>
      <c r="H22" s="154"/>
      <c r="I22" s="223"/>
      <c r="J22" s="223"/>
      <c r="K22" s="224"/>
      <c r="L22" s="225"/>
      <c r="M22" s="183"/>
    </row>
    <row r="23" ht="15.75" customHeight="1">
      <c r="A23" s="223"/>
      <c r="B23" s="154"/>
      <c r="C23" s="154"/>
      <c r="D23" s="223"/>
      <c r="E23" s="223"/>
      <c r="F23" s="223"/>
      <c r="G23" s="206"/>
      <c r="H23" s="154"/>
      <c r="I23" s="223"/>
      <c r="J23" s="223"/>
      <c r="K23" s="226"/>
      <c r="L23" s="225"/>
      <c r="M23" s="183"/>
    </row>
    <row r="24" ht="15.75" customHeight="1">
      <c r="A24" s="223"/>
      <c r="B24" s="154"/>
      <c r="C24" s="154"/>
      <c r="D24" s="206"/>
      <c r="E24" s="112"/>
      <c r="F24" s="112"/>
      <c r="G24" s="206"/>
      <c r="H24" s="154"/>
      <c r="I24" s="223"/>
      <c r="J24" s="223"/>
      <c r="K24" s="224"/>
      <c r="L24" s="225"/>
      <c r="M24" s="183"/>
    </row>
    <row r="25" ht="18.75" customHeight="1">
      <c r="M25" s="149"/>
      <c r="N25" s="149"/>
      <c r="O25" s="151"/>
    </row>
    <row r="26" ht="15.75" customHeight="1">
      <c r="E26" s="134"/>
      <c r="F26" s="134"/>
      <c r="G26" s="134"/>
      <c r="H26" s="134"/>
      <c r="I26" s="149"/>
      <c r="J26" s="150"/>
      <c r="K26" s="150"/>
      <c r="L26" s="150"/>
      <c r="M26" s="150"/>
      <c r="N26" s="150"/>
      <c r="O26" s="151"/>
    </row>
    <row r="27" ht="15.75" customHeight="1">
      <c r="E27" s="134"/>
      <c r="F27" s="134"/>
      <c r="G27" s="134"/>
      <c r="H27" s="134"/>
      <c r="I27" s="149"/>
      <c r="J27" s="150"/>
      <c r="K27" s="150"/>
      <c r="L27" s="150"/>
      <c r="M27" s="150"/>
      <c r="N27" s="150"/>
      <c r="O27" s="151"/>
    </row>
    <row r="28" ht="15.75" customHeight="1">
      <c r="E28" s="134"/>
      <c r="F28" s="134"/>
      <c r="G28" s="134"/>
      <c r="H28" s="134"/>
      <c r="I28" s="149"/>
      <c r="J28" s="150"/>
      <c r="K28" s="150"/>
      <c r="L28" s="150"/>
      <c r="M28" s="150"/>
      <c r="N28" s="150"/>
      <c r="O28" s="151"/>
    </row>
    <row r="29" ht="15.75" customHeight="1">
      <c r="E29" s="134"/>
      <c r="F29" s="134"/>
      <c r="G29" s="134"/>
      <c r="H29" s="134"/>
      <c r="I29" s="149"/>
      <c r="J29" s="150"/>
      <c r="K29" s="150"/>
      <c r="L29" s="150"/>
      <c r="M29" s="150"/>
      <c r="N29" s="150"/>
      <c r="O29" s="151"/>
    </row>
    <row r="30" ht="15.75" customHeight="1">
      <c r="A30" s="152"/>
      <c r="B30" s="99" t="s">
        <v>684</v>
      </c>
      <c r="C30" s="100"/>
      <c r="D30" s="114"/>
      <c r="E30" s="21" t="s">
        <v>685</v>
      </c>
      <c r="G30" s="21"/>
      <c r="J30" s="153"/>
      <c r="K30" s="22" t="s">
        <v>686</v>
      </c>
      <c r="M30" s="153"/>
      <c r="N30" s="153"/>
      <c r="O30" s="151"/>
    </row>
    <row r="31" ht="15.75" customHeight="1">
      <c r="A31" s="152"/>
      <c r="B31" s="183"/>
      <c r="D31" s="227"/>
      <c r="J31" s="153"/>
      <c r="K31" s="56"/>
      <c r="M31" s="153"/>
      <c r="N31" s="153"/>
      <c r="O31" s="151"/>
    </row>
    <row r="32" ht="15.75" customHeight="1">
      <c r="A32" s="152"/>
      <c r="N32" s="153"/>
      <c r="O32" s="151"/>
    </row>
    <row r="33" ht="15.75" customHeight="1"/>
    <row r="34" ht="15.75" customHeight="1"/>
    <row r="35" ht="15.75" customHeight="1">
      <c r="A35" s="152"/>
      <c r="N35" s="153"/>
      <c r="O35" s="151"/>
    </row>
    <row r="36" ht="15.75" customHeight="1">
      <c r="A36" s="152"/>
      <c r="B36" s="228"/>
      <c r="C36" s="228"/>
      <c r="D36" s="152"/>
      <c r="E36" s="148"/>
      <c r="G36" s="148"/>
      <c r="I36" s="153"/>
      <c r="J36" s="5"/>
      <c r="K36" s="153"/>
      <c r="L36" s="153"/>
      <c r="M36" s="153"/>
      <c r="N36" s="153"/>
      <c r="O36" s="151"/>
    </row>
    <row r="37" ht="15.75" customHeight="1">
      <c r="A37" s="152"/>
      <c r="D37" s="152"/>
      <c r="E37" s="56"/>
      <c r="F37" s="183"/>
      <c r="G37" s="183"/>
      <c r="I37" s="153"/>
      <c r="J37" s="56"/>
      <c r="K37" s="153"/>
      <c r="L37" s="153"/>
      <c r="M37" s="153"/>
      <c r="N37" s="153"/>
      <c r="O37" s="151"/>
    </row>
    <row r="38" ht="15.75" customHeight="1">
      <c r="A38" s="152"/>
      <c r="H38" s="152"/>
      <c r="I38" s="153"/>
      <c r="J38" s="153"/>
      <c r="K38" s="153"/>
      <c r="L38" s="153"/>
      <c r="M38" s="153"/>
      <c r="N38" s="153"/>
      <c r="O38" s="151"/>
    </row>
    <row r="39" ht="15.75" customHeight="1">
      <c r="A39" s="151"/>
      <c r="B39" s="151"/>
      <c r="H39" s="151"/>
      <c r="I39" s="151"/>
      <c r="J39" s="151"/>
      <c r="K39" s="151"/>
      <c r="L39" s="151"/>
      <c r="M39" s="151"/>
      <c r="N39" s="151"/>
      <c r="O39" s="151"/>
    </row>
    <row r="40" ht="15.75" customHeight="1"/>
    <row r="41" ht="15.75" customHeight="1"/>
    <row r="42" ht="15.75" customHeight="1"/>
    <row r="43" ht="15.75" customHeight="1"/>
    <row r="44" ht="20.25" customHeight="1">
      <c r="H44" s="228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L1"/>
    <mergeCell ref="A2:L2"/>
    <mergeCell ref="A3:L3"/>
    <mergeCell ref="A4:L4"/>
    <mergeCell ref="A5:L5"/>
    <mergeCell ref="A6:L6"/>
    <mergeCell ref="A8:L8"/>
    <mergeCell ref="E30:F30"/>
    <mergeCell ref="D31:G31"/>
    <mergeCell ref="A9:L9"/>
    <mergeCell ref="A12:A13"/>
    <mergeCell ref="B12:B13"/>
    <mergeCell ref="C12:C13"/>
    <mergeCell ref="D12:K12"/>
    <mergeCell ref="L12:L13"/>
    <mergeCell ref="K30:L30"/>
  </mergeCells>
  <printOptions/>
  <pageMargins bottom="0.7874015748031497" footer="0.0" header="0.0" left="1.1811023622047245" right="1.1811023622047245" top="0.7874015748031497"/>
  <pageSetup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5.25"/>
    <col customWidth="1" min="3" max="3" width="12.88"/>
    <col customWidth="1" min="4" max="4" width="12.13"/>
    <col customWidth="1" min="5" max="5" width="11.25"/>
    <col customWidth="1" min="6" max="6" width="11.75"/>
    <col customWidth="1" min="7" max="7" width="11.25"/>
    <col customWidth="1" min="8" max="8" width="10.75"/>
    <col customWidth="1" min="9" max="9" width="10.88"/>
    <col customWidth="1" min="10" max="10" width="10.63"/>
    <col customWidth="1" min="11" max="11" width="22.25"/>
    <col customWidth="1" min="12" max="12" width="12.75"/>
    <col customWidth="1" min="13" max="13" width="17.13"/>
    <col customWidth="1" min="14" max="14" width="12.88"/>
    <col customWidth="1" min="15" max="19" width="8.63"/>
  </cols>
  <sheetData>
    <row r="1" ht="15.0" customHeight="1">
      <c r="A1" s="1" t="s">
        <v>0</v>
      </c>
      <c r="L1" s="2"/>
      <c r="M1" s="2"/>
      <c r="N1" s="2"/>
    </row>
    <row r="2">
      <c r="A2" s="3" t="s">
        <v>1</v>
      </c>
    </row>
    <row r="3" ht="18.75" customHeight="1">
      <c r="A3" s="5" t="s">
        <v>2</v>
      </c>
      <c r="L3" s="6"/>
      <c r="M3" s="6"/>
      <c r="N3" s="6"/>
      <c r="O3" s="6"/>
      <c r="P3" s="6"/>
      <c r="Q3" s="6"/>
    </row>
    <row r="4" ht="15.0" customHeight="1">
      <c r="A4" s="1" t="s">
        <v>3</v>
      </c>
      <c r="L4" s="2"/>
      <c r="M4" s="2"/>
      <c r="N4" s="2"/>
      <c r="O4" s="2"/>
    </row>
    <row r="5" ht="15.0" customHeight="1">
      <c r="A5" s="1" t="s">
        <v>4</v>
      </c>
      <c r="L5" s="2"/>
      <c r="M5" s="2"/>
      <c r="N5" s="2"/>
      <c r="O5" s="2"/>
    </row>
    <row r="6" ht="15.0" customHeight="1">
      <c r="A6" s="7" t="s">
        <v>5</v>
      </c>
      <c r="L6" s="8"/>
      <c r="M6" s="8"/>
      <c r="N6" s="8"/>
      <c r="O6" s="8"/>
    </row>
    <row r="8">
      <c r="A8" s="9" t="s">
        <v>822</v>
      </c>
      <c r="K8" s="10"/>
    </row>
    <row r="9" ht="15.75" customHeight="1"/>
    <row r="10">
      <c r="A10" s="229" t="s">
        <v>823</v>
      </c>
    </row>
    <row r="11" ht="15.75" customHeight="1">
      <c r="A11" s="230" t="s">
        <v>690</v>
      </c>
      <c r="B11" s="231" t="s">
        <v>824</v>
      </c>
      <c r="C11" s="231" t="s">
        <v>814</v>
      </c>
      <c r="D11" s="232" t="s">
        <v>704</v>
      </c>
      <c r="E11" s="232" t="s">
        <v>707</v>
      </c>
      <c r="F11" s="232" t="s">
        <v>710</v>
      </c>
      <c r="G11" s="230" t="s">
        <v>713</v>
      </c>
      <c r="H11" s="230" t="s">
        <v>716</v>
      </c>
      <c r="I11" s="233" t="s">
        <v>825</v>
      </c>
      <c r="J11" s="230" t="s">
        <v>738</v>
      </c>
      <c r="K11" s="183"/>
      <c r="M11" s="234"/>
    </row>
    <row r="12" ht="13.5" customHeight="1">
      <c r="A12" s="230">
        <v>1.0</v>
      </c>
      <c r="B12" s="235"/>
      <c r="C12" s="236"/>
      <c r="D12" s="237"/>
      <c r="E12" s="237"/>
      <c r="F12" s="237"/>
      <c r="G12" s="237" t="s">
        <v>826</v>
      </c>
      <c r="H12" s="237" t="s">
        <v>827</v>
      </c>
      <c r="I12" s="237"/>
      <c r="J12" s="237"/>
      <c r="M12" s="238"/>
    </row>
    <row r="13" ht="13.5" customHeight="1">
      <c r="A13" s="230">
        <v>2.0</v>
      </c>
      <c r="B13" s="239"/>
      <c r="C13" s="236"/>
      <c r="D13" s="237"/>
      <c r="E13" s="237"/>
      <c r="F13" s="237" t="s">
        <v>828</v>
      </c>
      <c r="G13" s="237"/>
      <c r="H13" s="237"/>
      <c r="I13" s="237"/>
      <c r="J13" s="237"/>
      <c r="M13" s="137"/>
    </row>
    <row r="14" ht="13.5" customHeight="1">
      <c r="A14" s="230">
        <v>3.0</v>
      </c>
      <c r="B14" s="240"/>
      <c r="C14" s="237"/>
      <c r="D14" s="237" t="s">
        <v>829</v>
      </c>
      <c r="E14" s="237"/>
      <c r="F14" s="237"/>
      <c r="G14" s="237"/>
      <c r="H14" s="237"/>
      <c r="I14" s="237"/>
      <c r="J14" s="237" t="s">
        <v>738</v>
      </c>
      <c r="M14" s="137"/>
    </row>
    <row r="15" ht="13.5" customHeight="1">
      <c r="A15" s="230">
        <v>4.0</v>
      </c>
      <c r="B15" s="240"/>
      <c r="C15" s="237"/>
      <c r="D15" s="237" t="s">
        <v>830</v>
      </c>
      <c r="E15" s="237" t="s">
        <v>831</v>
      </c>
      <c r="F15" s="237"/>
      <c r="G15" s="237"/>
      <c r="H15" s="237"/>
      <c r="I15" s="237"/>
      <c r="J15" s="237"/>
      <c r="M15" s="137"/>
    </row>
    <row r="16" ht="13.5" customHeight="1">
      <c r="A16" s="230">
        <v>5.0</v>
      </c>
      <c r="B16" s="239"/>
      <c r="C16" s="237"/>
      <c r="D16" s="237"/>
      <c r="E16" s="237"/>
      <c r="F16" s="237"/>
      <c r="G16" s="237" t="s">
        <v>832</v>
      </c>
      <c r="H16" s="237"/>
      <c r="I16" s="237"/>
      <c r="J16" s="237"/>
      <c r="M16" s="137"/>
    </row>
    <row r="17" ht="13.5" customHeight="1">
      <c r="A17" s="230">
        <v>6.0</v>
      </c>
      <c r="B17" s="240"/>
      <c r="C17" s="237"/>
      <c r="D17" s="237"/>
      <c r="E17" s="237"/>
      <c r="F17" s="237"/>
      <c r="G17" s="237"/>
      <c r="H17" s="237"/>
      <c r="I17" s="237"/>
      <c r="J17" s="237" t="s">
        <v>738</v>
      </c>
      <c r="M17" s="234"/>
    </row>
    <row r="18" ht="13.5" customHeight="1">
      <c r="A18" s="230">
        <v>7.0</v>
      </c>
      <c r="B18" s="240"/>
      <c r="C18" s="237"/>
      <c r="D18" s="237" t="s">
        <v>833</v>
      </c>
      <c r="E18" s="237"/>
      <c r="F18" s="237"/>
      <c r="G18" s="237"/>
      <c r="H18" s="237"/>
      <c r="I18" s="237"/>
      <c r="J18" s="237"/>
      <c r="M18" s="234"/>
    </row>
    <row r="19" ht="13.5" customHeight="1">
      <c r="A19" s="230">
        <v>8.0</v>
      </c>
      <c r="B19" s="240"/>
      <c r="C19" s="237"/>
      <c r="D19" s="237" t="s">
        <v>834</v>
      </c>
      <c r="E19" s="237"/>
      <c r="F19" s="237"/>
      <c r="G19" s="237"/>
      <c r="H19" s="237"/>
      <c r="I19" s="237"/>
      <c r="J19" s="237"/>
      <c r="L19" s="231"/>
      <c r="M19" s="234"/>
      <c r="N19" s="232"/>
      <c r="O19" s="232"/>
      <c r="P19" s="232"/>
      <c r="Q19" s="230"/>
      <c r="R19" s="230"/>
      <c r="S19" s="230"/>
    </row>
    <row r="20" ht="13.5" customHeight="1">
      <c r="A20" s="230">
        <v>9.0</v>
      </c>
      <c r="B20" s="235"/>
      <c r="C20" s="236"/>
      <c r="D20" s="237" t="s">
        <v>835</v>
      </c>
      <c r="E20" s="237"/>
      <c r="F20" s="237"/>
      <c r="G20" s="237"/>
      <c r="H20" s="237"/>
      <c r="I20" s="237"/>
      <c r="J20" s="237"/>
      <c r="L20" s="241"/>
      <c r="M20" s="242"/>
      <c r="N20" s="243"/>
      <c r="O20" s="225"/>
      <c r="P20" s="225"/>
      <c r="Q20" s="225"/>
      <c r="R20" s="225"/>
      <c r="S20" s="225"/>
    </row>
    <row r="21" ht="13.5" customHeight="1">
      <c r="A21" s="230">
        <v>10.0</v>
      </c>
      <c r="C21" s="236"/>
      <c r="D21" s="244"/>
      <c r="E21" s="237" t="s">
        <v>836</v>
      </c>
      <c r="F21" s="237" t="s">
        <v>837</v>
      </c>
      <c r="G21" s="237"/>
      <c r="H21" s="237"/>
      <c r="I21" s="237"/>
      <c r="J21" s="237"/>
      <c r="L21" s="241"/>
      <c r="M21" s="242"/>
      <c r="N21" s="243"/>
      <c r="O21" s="225"/>
      <c r="P21" s="225"/>
      <c r="Q21" s="225"/>
      <c r="R21" s="225"/>
      <c r="S21" s="225"/>
    </row>
    <row r="22" ht="13.5" customHeight="1">
      <c r="A22" s="230">
        <v>11.0</v>
      </c>
      <c r="B22" s="239"/>
      <c r="C22" s="236"/>
      <c r="D22" s="244"/>
      <c r="E22" s="237"/>
      <c r="F22" s="237" t="s">
        <v>838</v>
      </c>
      <c r="G22" s="237" t="s">
        <v>832</v>
      </c>
      <c r="H22" s="237"/>
      <c r="I22" s="237"/>
      <c r="J22" s="237"/>
      <c r="L22" s="241"/>
      <c r="M22" s="238"/>
      <c r="N22" s="243"/>
      <c r="O22" s="225"/>
      <c r="P22" s="225"/>
      <c r="Q22" s="225"/>
      <c r="R22" s="225"/>
      <c r="S22" s="225"/>
    </row>
    <row r="23" ht="13.5" customHeight="1">
      <c r="A23" s="230">
        <v>12.0</v>
      </c>
      <c r="B23" s="240"/>
      <c r="C23" s="237"/>
      <c r="D23" s="244"/>
      <c r="E23" s="237"/>
      <c r="F23" s="237"/>
      <c r="G23" s="237"/>
      <c r="H23" s="237"/>
      <c r="I23" s="237"/>
      <c r="J23" s="237" t="s">
        <v>738</v>
      </c>
      <c r="L23" s="241"/>
      <c r="M23" s="234"/>
      <c r="N23" s="243"/>
      <c r="O23" s="225"/>
      <c r="P23" s="225"/>
      <c r="Q23" s="225"/>
      <c r="R23" s="225"/>
      <c r="S23" s="225"/>
    </row>
    <row r="24" ht="13.5" customHeight="1">
      <c r="A24" s="230">
        <v>13.0</v>
      </c>
      <c r="B24" s="240"/>
      <c r="C24" s="237"/>
      <c r="D24" s="237" t="s">
        <v>839</v>
      </c>
      <c r="E24" s="237"/>
      <c r="F24" s="237"/>
      <c r="G24" s="237"/>
      <c r="H24" s="237"/>
      <c r="I24" s="237"/>
      <c r="J24" s="237"/>
      <c r="L24" s="241"/>
      <c r="M24" s="238"/>
      <c r="N24" s="243"/>
      <c r="O24" s="225"/>
      <c r="P24" s="225"/>
      <c r="Q24" s="225"/>
      <c r="R24" s="225"/>
      <c r="S24" s="225"/>
    </row>
    <row r="25" ht="13.5" customHeight="1">
      <c r="A25" s="230">
        <v>14.0</v>
      </c>
      <c r="B25" s="239"/>
      <c r="C25" s="237"/>
      <c r="D25" s="245"/>
      <c r="E25" s="237" t="s">
        <v>840</v>
      </c>
      <c r="F25" s="237"/>
      <c r="G25" s="237"/>
      <c r="H25" s="237"/>
      <c r="I25" s="237"/>
      <c r="J25" s="237"/>
      <c r="L25" s="241"/>
      <c r="M25" s="234"/>
      <c r="N25" s="243"/>
      <c r="O25" s="225"/>
      <c r="P25" s="225"/>
      <c r="Q25" s="225"/>
      <c r="R25" s="225"/>
      <c r="S25" s="225"/>
    </row>
    <row r="26" ht="13.5" customHeight="1">
      <c r="A26" s="230">
        <v>15.0</v>
      </c>
      <c r="B26" s="240"/>
      <c r="C26" s="237"/>
      <c r="D26" s="246"/>
      <c r="E26" s="237" t="s">
        <v>841</v>
      </c>
      <c r="F26" s="237"/>
      <c r="G26" s="237"/>
      <c r="H26" s="237"/>
      <c r="I26" s="237"/>
      <c r="J26" s="237"/>
      <c r="L26" s="241"/>
      <c r="M26" s="137"/>
      <c r="N26" s="243"/>
      <c r="O26" s="225"/>
      <c r="P26" s="225"/>
      <c r="Q26" s="225"/>
      <c r="R26" s="225"/>
      <c r="S26" s="225"/>
    </row>
    <row r="27" ht="13.5" customHeight="1">
      <c r="A27" s="230">
        <v>16.0</v>
      </c>
      <c r="B27" s="240"/>
      <c r="C27" s="237"/>
      <c r="D27" s="237"/>
      <c r="E27" s="237"/>
      <c r="F27" s="237"/>
      <c r="G27" s="237"/>
      <c r="H27" s="237" t="s">
        <v>842</v>
      </c>
      <c r="I27" s="237"/>
      <c r="J27" s="237"/>
      <c r="M27" s="137"/>
    </row>
    <row r="28" ht="13.5" customHeight="1">
      <c r="A28" s="230">
        <v>17.0</v>
      </c>
      <c r="B28" s="240"/>
      <c r="C28" s="237"/>
      <c r="D28" s="245"/>
      <c r="E28" s="237"/>
      <c r="F28" s="237"/>
      <c r="G28" s="237"/>
      <c r="H28" s="237"/>
      <c r="I28" s="237"/>
      <c r="J28" s="237" t="s">
        <v>738</v>
      </c>
      <c r="M28" s="234"/>
    </row>
    <row r="29" ht="13.5" customHeight="1">
      <c r="A29" s="230">
        <v>18.0</v>
      </c>
      <c r="B29" s="240"/>
      <c r="C29" s="245"/>
      <c r="D29" s="245"/>
      <c r="E29" s="247"/>
      <c r="F29" s="245"/>
      <c r="G29" s="247"/>
      <c r="H29" s="240"/>
      <c r="I29" s="248"/>
      <c r="J29" s="249" t="s">
        <v>843</v>
      </c>
      <c r="K29" s="183"/>
    </row>
    <row r="30" ht="13.5" customHeight="1">
      <c r="A30" s="230">
        <v>19.0</v>
      </c>
      <c r="B30" s="250"/>
      <c r="C30" s="251"/>
      <c r="D30" s="249" t="s">
        <v>844</v>
      </c>
      <c r="E30" s="249" t="s">
        <v>845</v>
      </c>
      <c r="F30" s="249" t="s">
        <v>846</v>
      </c>
      <c r="G30" s="249" t="s">
        <v>847</v>
      </c>
      <c r="H30" s="240"/>
      <c r="I30" s="248"/>
      <c r="J30" s="240"/>
      <c r="K30" s="183" t="s">
        <v>816</v>
      </c>
    </row>
    <row r="31" ht="13.5" customHeight="1">
      <c r="A31" s="230">
        <v>20.0</v>
      </c>
      <c r="B31" s="250"/>
      <c r="C31" s="251"/>
      <c r="D31" s="4"/>
      <c r="E31" s="252" t="s">
        <v>848</v>
      </c>
      <c r="F31" s="249"/>
      <c r="G31" s="237"/>
      <c r="H31" s="249"/>
      <c r="I31" s="240"/>
      <c r="J31" s="240"/>
    </row>
    <row r="32" ht="13.5" customHeight="1">
      <c r="A32" s="230">
        <v>21.0</v>
      </c>
      <c r="B32" s="250"/>
      <c r="C32" s="251"/>
      <c r="D32" s="253"/>
      <c r="E32" s="249"/>
      <c r="F32" s="249"/>
      <c r="G32" s="252" t="s">
        <v>849</v>
      </c>
      <c r="H32" s="249"/>
      <c r="I32" s="240"/>
      <c r="J32" s="240"/>
    </row>
    <row r="33" ht="15.75" customHeight="1">
      <c r="A33" s="254"/>
      <c r="D33" s="152"/>
      <c r="E33" s="152"/>
      <c r="F33" s="152"/>
      <c r="G33" s="152"/>
      <c r="H33" s="152"/>
      <c r="I33" s="183"/>
    </row>
    <row r="34" ht="15.75" customHeight="1">
      <c r="A34" s="254"/>
      <c r="D34" s="152"/>
      <c r="E34" s="152"/>
      <c r="F34" s="152"/>
      <c r="G34" s="152"/>
      <c r="H34" s="152"/>
      <c r="I34" s="183"/>
    </row>
    <row r="35" ht="15.75" customHeight="1">
      <c r="A35" s="254"/>
      <c r="D35" s="152"/>
      <c r="E35" s="152"/>
      <c r="F35" s="152"/>
      <c r="G35" s="152"/>
      <c r="H35" s="152"/>
      <c r="I35" s="183"/>
    </row>
    <row r="36" ht="15.75" customHeight="1">
      <c r="B36" s="99" t="s">
        <v>684</v>
      </c>
      <c r="C36" s="114"/>
      <c r="D36" s="21" t="s">
        <v>685</v>
      </c>
      <c r="F36" s="21"/>
      <c r="H36" s="114"/>
      <c r="I36" s="22" t="s">
        <v>686</v>
      </c>
    </row>
    <row r="37" ht="15.75" customHeight="1">
      <c r="B37" s="183"/>
      <c r="C37" s="227"/>
      <c r="H37" s="152"/>
      <c r="I37" s="152"/>
      <c r="J37" s="227"/>
    </row>
    <row r="38" ht="15.75" customHeight="1">
      <c r="B38" s="183"/>
      <c r="D38" s="152"/>
      <c r="E38" s="152"/>
      <c r="F38" s="196"/>
      <c r="G38" s="196"/>
      <c r="H38" s="152"/>
      <c r="I38" s="152"/>
      <c r="J38" s="152"/>
    </row>
    <row r="39" ht="15.75" customHeight="1">
      <c r="B39" s="255" t="s">
        <v>850</v>
      </c>
      <c r="D39" s="56"/>
      <c r="G39" s="56"/>
    </row>
    <row r="40" ht="15.75" customHeight="1"/>
    <row r="41" ht="15.75" customHeight="1">
      <c r="B41" s="235"/>
      <c r="C41" s="236"/>
      <c r="D41" s="234"/>
      <c r="E41" s="234"/>
      <c r="F41" s="234"/>
      <c r="G41" s="234"/>
      <c r="H41" s="256"/>
      <c r="I41" s="257"/>
      <c r="J41" s="230"/>
    </row>
    <row r="42" ht="15.75" customHeight="1">
      <c r="B42" s="239"/>
      <c r="C42" s="236"/>
      <c r="D42" s="234"/>
      <c r="E42" s="210"/>
      <c r="F42" s="258"/>
      <c r="G42" s="210"/>
      <c r="H42" s="259"/>
      <c r="I42" s="259"/>
      <c r="J42" s="225"/>
    </row>
    <row r="43" ht="15.75" customHeight="1">
      <c r="B43" s="240"/>
      <c r="C43" s="237"/>
      <c r="D43" s="238"/>
      <c r="E43" s="260"/>
      <c r="F43" s="258"/>
      <c r="G43" s="210"/>
      <c r="H43" s="256"/>
      <c r="I43" s="257"/>
      <c r="J43" s="225"/>
    </row>
    <row r="44" ht="15.75" customHeight="1">
      <c r="B44" s="240"/>
      <c r="C44" s="237"/>
      <c r="D44" s="238"/>
      <c r="E44" s="210"/>
      <c r="F44" s="258"/>
      <c r="G44" s="210"/>
      <c r="H44" s="259"/>
      <c r="I44" s="257"/>
      <c r="J44" s="225"/>
    </row>
    <row r="45" ht="15.75" customHeight="1">
      <c r="B45" s="239"/>
      <c r="C45" s="237"/>
      <c r="D45" s="234"/>
      <c r="E45" s="210"/>
      <c r="F45" s="258"/>
      <c r="G45" s="210"/>
      <c r="H45" s="259"/>
      <c r="I45" s="259"/>
      <c r="J45" s="225"/>
    </row>
    <row r="46" ht="15.75" customHeight="1">
      <c r="B46" s="240"/>
      <c r="C46" s="237"/>
      <c r="D46" s="238"/>
      <c r="E46" s="210"/>
      <c r="F46" s="234"/>
      <c r="G46" s="210"/>
      <c r="H46" s="259"/>
      <c r="I46" s="257"/>
      <c r="J46" s="225"/>
    </row>
    <row r="47" ht="15.75" customHeight="1">
      <c r="B47" s="240"/>
      <c r="C47" s="237"/>
      <c r="D47" s="238"/>
      <c r="E47" s="260"/>
      <c r="F47" s="258"/>
      <c r="G47" s="234"/>
      <c r="H47" s="259"/>
      <c r="I47" s="259"/>
      <c r="J47" s="225"/>
    </row>
    <row r="48" ht="15.75" customHeight="1">
      <c r="B48" s="240"/>
      <c r="C48" s="237"/>
      <c r="D48" s="238"/>
      <c r="E48" s="210"/>
      <c r="F48" s="234"/>
      <c r="G48" s="210"/>
      <c r="H48" s="259"/>
      <c r="I48" s="259"/>
      <c r="J48" s="225"/>
    </row>
    <row r="49" ht="15.75" customHeight="1">
      <c r="B49" s="240"/>
      <c r="C49" s="237"/>
      <c r="D49" s="238"/>
      <c r="E49" s="210"/>
      <c r="F49" s="234"/>
      <c r="G49" s="210"/>
      <c r="H49" s="259"/>
      <c r="I49" s="259"/>
      <c r="J49" s="225"/>
    </row>
    <row r="50" ht="15.75" customHeight="1">
      <c r="B50" s="240"/>
      <c r="C50" s="237"/>
      <c r="D50" s="234"/>
      <c r="E50" s="210"/>
      <c r="F50" s="258"/>
      <c r="G50" s="210"/>
      <c r="H50" s="259"/>
      <c r="I50" s="259"/>
      <c r="J50" s="225"/>
    </row>
    <row r="51" ht="15.75" customHeight="1">
      <c r="B51" s="240"/>
      <c r="C51" s="237"/>
      <c r="D51" s="234"/>
      <c r="E51" s="210"/>
      <c r="F51" s="258"/>
      <c r="G51" s="234"/>
      <c r="H51" s="259"/>
      <c r="I51" s="257"/>
      <c r="J51" s="225"/>
    </row>
    <row r="52" ht="15.75" customHeight="1">
      <c r="B52" s="240"/>
      <c r="C52" s="237"/>
      <c r="D52" s="234"/>
      <c r="E52" s="210"/>
      <c r="F52" s="258"/>
      <c r="G52" s="210"/>
      <c r="H52" s="259"/>
      <c r="I52" s="259"/>
      <c r="J52" s="22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J8"/>
    <mergeCell ref="D36:E36"/>
    <mergeCell ref="C37:F37"/>
    <mergeCell ref="B39:C39"/>
    <mergeCell ref="A1:K1"/>
    <mergeCell ref="A2:K2"/>
    <mergeCell ref="A3:K3"/>
    <mergeCell ref="A4:K4"/>
    <mergeCell ref="A5:K5"/>
    <mergeCell ref="A6:K6"/>
    <mergeCell ref="A10:K10"/>
  </mergeCells>
  <printOptions/>
  <pageMargins bottom="0.1968503937007874" footer="0.0" header="0.0" left="1.299212598425197" right="0.1968503937007874" top="0.1968503937007874"/>
  <pageSetup orientation="landscape"/>
  <rowBreaks count="2" manualBreakCount="2">
    <brk id="50" man="1"/>
    <brk id="36" man="1"/>
  </rowBreaks>
  <colBreaks count="2" manualBreakCount="2">
    <brk id="10" man="1"/>
    <brk id="13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0.75"/>
    <col customWidth="1" min="3" max="3" width="11.0"/>
    <col customWidth="1" min="4" max="4" width="31.25"/>
    <col customWidth="1" min="5" max="5" width="30.38"/>
    <col customWidth="1" min="6" max="6" width="21.13"/>
    <col customWidth="1" min="7" max="7" width="22.25"/>
    <col customWidth="1" min="8" max="8" width="19.0"/>
    <col customWidth="1" min="9" max="9" width="6.75"/>
    <col customWidth="1" min="10" max="11" width="6.88"/>
    <col customWidth="1" min="12" max="17" width="8.63"/>
  </cols>
  <sheetData>
    <row r="1" ht="15.0" customHeight="1">
      <c r="A1" s="1" t="s">
        <v>0</v>
      </c>
      <c r="L1" s="2"/>
      <c r="M1" s="2"/>
      <c r="N1" s="2"/>
    </row>
    <row r="2">
      <c r="A2" s="3" t="s">
        <v>1</v>
      </c>
    </row>
    <row r="3" ht="18.75" customHeight="1">
      <c r="A3" s="5" t="s">
        <v>2</v>
      </c>
      <c r="L3" s="6"/>
      <c r="M3" s="6"/>
      <c r="N3" s="6"/>
      <c r="O3" s="6"/>
      <c r="P3" s="6"/>
      <c r="Q3" s="6"/>
    </row>
    <row r="4" ht="15.0" customHeight="1">
      <c r="A4" s="1" t="s">
        <v>3</v>
      </c>
      <c r="L4" s="2"/>
      <c r="M4" s="2"/>
      <c r="N4" s="2"/>
      <c r="O4" s="2"/>
    </row>
    <row r="5" ht="15.0" customHeight="1">
      <c r="A5" s="1" t="s">
        <v>4</v>
      </c>
      <c r="L5" s="2"/>
      <c r="M5" s="2"/>
      <c r="N5" s="2"/>
      <c r="O5" s="2"/>
    </row>
    <row r="6" ht="15.0" customHeight="1">
      <c r="A6" s="7" t="s">
        <v>5</v>
      </c>
      <c r="L6" s="8"/>
      <c r="M6" s="8"/>
      <c r="N6" s="8"/>
      <c r="O6" s="8"/>
    </row>
    <row r="8">
      <c r="A8" s="9" t="s">
        <v>851</v>
      </c>
    </row>
    <row r="9">
      <c r="A9" s="229" t="s">
        <v>852</v>
      </c>
    </row>
    <row r="12">
      <c r="A12" s="230" t="s">
        <v>690</v>
      </c>
      <c r="B12" s="261" t="s">
        <v>824</v>
      </c>
      <c r="C12" s="261" t="s">
        <v>814</v>
      </c>
      <c r="D12" s="262" t="s">
        <v>770</v>
      </c>
      <c r="E12" s="263" t="s">
        <v>771</v>
      </c>
      <c r="F12" s="263" t="s">
        <v>772</v>
      </c>
      <c r="G12" s="263" t="s">
        <v>773</v>
      </c>
      <c r="H12" s="263" t="s">
        <v>21</v>
      </c>
      <c r="I12" s="263" t="s">
        <v>774</v>
      </c>
      <c r="J12" s="261" t="s">
        <v>775</v>
      </c>
      <c r="K12" s="261" t="s">
        <v>776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64">
        <v>1.0</v>
      </c>
      <c r="B13" s="265"/>
      <c r="C13" s="266"/>
      <c r="D13" s="264"/>
      <c r="E13" s="264"/>
      <c r="F13" s="267" t="s">
        <v>853</v>
      </c>
      <c r="G13" s="268" t="s">
        <v>854</v>
      </c>
      <c r="H13" s="234" t="s">
        <v>704</v>
      </c>
      <c r="I13" s="269"/>
      <c r="J13" s="269"/>
      <c r="K13" s="269"/>
      <c r="L13" s="183"/>
    </row>
    <row r="14">
      <c r="A14" s="264">
        <v>2.0</v>
      </c>
      <c r="B14" s="265"/>
      <c r="C14" s="270"/>
      <c r="D14" s="264" t="s">
        <v>855</v>
      </c>
      <c r="E14" s="264" t="s">
        <v>856</v>
      </c>
      <c r="F14" s="267"/>
      <c r="G14" s="268"/>
      <c r="H14" s="269"/>
      <c r="I14" s="269"/>
      <c r="J14" s="269"/>
      <c r="K14" s="269"/>
      <c r="L14" s="183"/>
    </row>
    <row r="15">
      <c r="A15" s="264">
        <v>3.0</v>
      </c>
      <c r="B15" s="265"/>
      <c r="C15" s="266"/>
      <c r="D15" s="265"/>
      <c r="E15" s="266" t="s">
        <v>857</v>
      </c>
      <c r="F15" s="265"/>
      <c r="G15" s="266"/>
      <c r="H15" s="265"/>
      <c r="I15" s="269"/>
      <c r="J15" s="269"/>
      <c r="K15" s="269"/>
      <c r="L15" s="183"/>
    </row>
    <row r="16">
      <c r="A16" s="264">
        <v>4.0</v>
      </c>
      <c r="B16" s="265"/>
      <c r="C16" s="270"/>
      <c r="D16" s="265"/>
      <c r="E16" s="270" t="s">
        <v>858</v>
      </c>
      <c r="F16" s="265"/>
      <c r="G16" s="270" t="s">
        <v>859</v>
      </c>
      <c r="H16" s="265" t="s">
        <v>710</v>
      </c>
      <c r="I16" s="269"/>
      <c r="J16" s="269"/>
      <c r="K16" s="269"/>
      <c r="L16" s="183"/>
    </row>
    <row r="17">
      <c r="A17" s="264">
        <v>5.0</v>
      </c>
      <c r="B17" s="265"/>
      <c r="C17" s="266"/>
      <c r="D17" s="265" t="s">
        <v>860</v>
      </c>
      <c r="E17" s="266"/>
      <c r="F17" s="265"/>
      <c r="G17" s="266"/>
      <c r="H17" s="265" t="s">
        <v>707</v>
      </c>
      <c r="I17" s="269"/>
      <c r="J17" s="269"/>
      <c r="K17" s="269"/>
      <c r="L17" s="183"/>
    </row>
    <row r="18">
      <c r="A18" s="264">
        <v>6.0</v>
      </c>
      <c r="B18" s="265"/>
      <c r="C18" s="270"/>
      <c r="D18" s="265"/>
      <c r="E18" s="270" t="s">
        <v>861</v>
      </c>
      <c r="F18" s="265"/>
      <c r="G18" s="270"/>
      <c r="H18" s="265"/>
      <c r="I18" s="269"/>
      <c r="J18" s="269"/>
      <c r="K18" s="269"/>
      <c r="L18" s="183"/>
    </row>
    <row r="19">
      <c r="A19" s="264">
        <v>7.0</v>
      </c>
      <c r="B19" s="265"/>
      <c r="C19" s="266"/>
      <c r="D19" s="265" t="s">
        <v>862</v>
      </c>
      <c r="E19" s="266" t="s">
        <v>863</v>
      </c>
      <c r="F19" s="265"/>
      <c r="G19" s="266" t="s">
        <v>864</v>
      </c>
      <c r="H19" s="265" t="s">
        <v>865</v>
      </c>
      <c r="I19" s="269"/>
      <c r="J19" s="269"/>
      <c r="K19" s="269"/>
      <c r="L19" s="183"/>
    </row>
    <row r="20">
      <c r="A20" s="264">
        <v>8.0</v>
      </c>
      <c r="B20" s="265"/>
      <c r="C20" s="270"/>
      <c r="D20" s="265" t="s">
        <v>866</v>
      </c>
      <c r="E20" s="270" t="s">
        <v>867</v>
      </c>
      <c r="F20" s="265"/>
      <c r="G20" s="270" t="s">
        <v>868</v>
      </c>
      <c r="H20" s="265" t="s">
        <v>869</v>
      </c>
      <c r="I20" s="269"/>
      <c r="J20" s="269"/>
      <c r="K20" s="269"/>
      <c r="L20" s="183"/>
    </row>
    <row r="21" ht="15.75" customHeight="1">
      <c r="A21" s="264">
        <v>9.0</v>
      </c>
      <c r="B21" s="265"/>
      <c r="C21" s="266"/>
      <c r="D21" s="265"/>
      <c r="E21" s="266" t="s">
        <v>856</v>
      </c>
      <c r="F21" s="265"/>
      <c r="G21" s="266" t="s">
        <v>870</v>
      </c>
      <c r="H21" s="265" t="s">
        <v>713</v>
      </c>
      <c r="I21" s="269"/>
      <c r="J21" s="269"/>
      <c r="K21" s="269"/>
      <c r="L21" s="183"/>
    </row>
    <row r="22" ht="15.75" customHeight="1">
      <c r="A22" s="264">
        <v>10.0</v>
      </c>
      <c r="B22" s="265"/>
      <c r="C22" s="270"/>
      <c r="D22" s="265" t="s">
        <v>871</v>
      </c>
      <c r="E22" s="270" t="s">
        <v>872</v>
      </c>
      <c r="F22" s="265"/>
      <c r="G22" s="270" t="s">
        <v>873</v>
      </c>
      <c r="H22" s="265"/>
      <c r="I22" s="269"/>
      <c r="J22" s="269"/>
      <c r="K22" s="269"/>
      <c r="L22" s="183"/>
    </row>
    <row r="23" ht="15.75" customHeight="1">
      <c r="A23" s="264">
        <v>11.0</v>
      </c>
      <c r="B23" s="265"/>
      <c r="C23" s="266"/>
      <c r="D23" s="265" t="s">
        <v>874</v>
      </c>
      <c r="E23" s="266" t="s">
        <v>875</v>
      </c>
      <c r="F23" s="265"/>
      <c r="G23" s="266"/>
      <c r="H23" s="265"/>
      <c r="I23" s="269"/>
      <c r="J23" s="269"/>
      <c r="K23" s="269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ht="15.75" customHeight="1">
      <c r="A24" s="264">
        <v>12.0</v>
      </c>
      <c r="B24" s="265"/>
      <c r="C24" s="270"/>
      <c r="D24" s="265" t="s">
        <v>876</v>
      </c>
      <c r="E24" s="270"/>
      <c r="F24" s="265"/>
      <c r="G24" s="270" t="s">
        <v>877</v>
      </c>
      <c r="H24" s="265" t="s">
        <v>738</v>
      </c>
      <c r="I24" s="269"/>
      <c r="J24" s="269"/>
      <c r="K24" s="269"/>
      <c r="L24" s="271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15.75" customHeight="1">
      <c r="A25" s="264">
        <v>13.0</v>
      </c>
      <c r="B25" s="265"/>
      <c r="C25" s="266"/>
      <c r="D25" s="265"/>
      <c r="E25" s="266" t="s">
        <v>856</v>
      </c>
      <c r="F25" s="265"/>
      <c r="G25" s="266" t="s">
        <v>878</v>
      </c>
      <c r="H25" s="265"/>
      <c r="I25" s="269"/>
      <c r="J25" s="269"/>
      <c r="K25" s="269"/>
      <c r="L25" s="7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ht="15.75" customHeight="1">
      <c r="A26" s="264">
        <v>14.0</v>
      </c>
      <c r="B26" s="265"/>
      <c r="C26" s="270"/>
      <c r="D26" s="265" t="s">
        <v>879</v>
      </c>
      <c r="E26" s="270"/>
      <c r="F26" s="265"/>
      <c r="G26" s="270"/>
      <c r="H26" s="265"/>
      <c r="I26" s="269"/>
      <c r="J26" s="269"/>
      <c r="K26" s="269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ht="15.75" customHeight="1">
      <c r="A27" s="264">
        <v>15.0</v>
      </c>
      <c r="B27" s="265"/>
      <c r="C27" s="266"/>
      <c r="D27" s="265"/>
      <c r="E27" s="266"/>
      <c r="F27" s="265" t="s">
        <v>880</v>
      </c>
      <c r="G27" s="266" t="s">
        <v>881</v>
      </c>
      <c r="H27" s="265" t="s">
        <v>882</v>
      </c>
      <c r="I27" s="154"/>
      <c r="J27" s="269"/>
      <c r="K27" s="269"/>
      <c r="L27" s="183"/>
    </row>
    <row r="28" ht="15.75" customHeight="1">
      <c r="A28" s="264">
        <v>16.0</v>
      </c>
      <c r="B28" s="265"/>
      <c r="C28" s="270"/>
      <c r="D28" s="265"/>
      <c r="E28" s="270"/>
      <c r="F28" s="265" t="s">
        <v>883</v>
      </c>
      <c r="G28" s="270" t="s">
        <v>859</v>
      </c>
      <c r="H28" s="265"/>
      <c r="I28" s="269"/>
      <c r="J28" s="269"/>
      <c r="K28" s="269"/>
      <c r="L28" s="183"/>
    </row>
    <row r="29" ht="15.75" customHeight="1">
      <c r="A29" s="264">
        <v>17.0</v>
      </c>
      <c r="B29" s="265"/>
      <c r="C29" s="266"/>
      <c r="D29" s="265" t="s">
        <v>884</v>
      </c>
      <c r="E29" s="266" t="s">
        <v>885</v>
      </c>
      <c r="F29" s="265"/>
      <c r="G29" s="266"/>
      <c r="H29" s="265"/>
      <c r="I29" s="269"/>
      <c r="J29" s="269"/>
      <c r="K29" s="269"/>
      <c r="L29" s="183"/>
    </row>
    <row r="30" ht="15.75" customHeight="1">
      <c r="A30" s="264">
        <v>18.0</v>
      </c>
      <c r="B30" s="265"/>
      <c r="C30" s="270"/>
      <c r="D30" s="265" t="s">
        <v>884</v>
      </c>
      <c r="E30" s="270"/>
      <c r="F30" s="265" t="s">
        <v>886</v>
      </c>
      <c r="G30" s="270" t="s">
        <v>887</v>
      </c>
      <c r="H30" s="265" t="s">
        <v>888</v>
      </c>
      <c r="I30" s="269"/>
      <c r="J30" s="269"/>
      <c r="K30" s="269"/>
      <c r="L30" s="183"/>
    </row>
    <row r="31" ht="15.75" customHeight="1">
      <c r="A31" s="264">
        <v>19.0</v>
      </c>
      <c r="B31" s="265"/>
      <c r="C31" s="266"/>
      <c r="D31" s="265"/>
      <c r="E31" s="266" t="s">
        <v>889</v>
      </c>
      <c r="F31" s="265"/>
      <c r="G31" s="266"/>
      <c r="H31" s="265" t="s">
        <v>738</v>
      </c>
      <c r="I31" s="269"/>
      <c r="J31" s="269"/>
      <c r="K31" s="269"/>
      <c r="L31" s="183"/>
    </row>
    <row r="32" ht="15.75" customHeight="1">
      <c r="A32" s="264">
        <v>20.0</v>
      </c>
      <c r="B32" s="265"/>
      <c r="C32" s="270"/>
      <c r="D32" s="265"/>
      <c r="E32" s="270"/>
      <c r="F32" s="265"/>
      <c r="G32" s="270" t="s">
        <v>859</v>
      </c>
      <c r="H32" s="265" t="s">
        <v>890</v>
      </c>
      <c r="I32" s="269"/>
      <c r="J32" s="269"/>
      <c r="K32" s="269"/>
      <c r="L32" s="183"/>
    </row>
    <row r="33" ht="15.75" customHeight="1">
      <c r="A33" s="264">
        <v>21.0</v>
      </c>
      <c r="B33" s="265"/>
      <c r="C33" s="266"/>
      <c r="D33" s="265" t="s">
        <v>891</v>
      </c>
      <c r="E33" s="266"/>
      <c r="F33" s="265"/>
      <c r="G33" s="266"/>
      <c r="H33" s="265"/>
      <c r="I33" s="269"/>
      <c r="J33" s="269"/>
      <c r="K33" s="269"/>
      <c r="L33" s="183"/>
    </row>
    <row r="34" ht="15.75" customHeight="1">
      <c r="A34" s="264">
        <v>22.0</v>
      </c>
      <c r="B34" s="265"/>
      <c r="C34" s="270"/>
      <c r="D34" s="265"/>
      <c r="E34" s="270"/>
      <c r="F34" s="265"/>
      <c r="G34" s="270" t="s">
        <v>892</v>
      </c>
      <c r="H34" s="265" t="s">
        <v>738</v>
      </c>
      <c r="I34" s="269"/>
      <c r="J34" s="269"/>
      <c r="K34" s="269"/>
      <c r="L34" s="183"/>
    </row>
    <row r="35" ht="15.75" customHeight="1">
      <c r="A35" s="264">
        <v>23.0</v>
      </c>
      <c r="B35" s="265"/>
      <c r="C35" s="266"/>
      <c r="D35" s="265"/>
      <c r="E35" s="266"/>
      <c r="F35" s="265"/>
      <c r="G35" s="266" t="s">
        <v>892</v>
      </c>
      <c r="H35" s="265"/>
      <c r="I35" s="269"/>
      <c r="J35" s="269"/>
      <c r="K35" s="269"/>
      <c r="L35" s="183"/>
    </row>
    <row r="36" ht="15.75" customHeight="1">
      <c r="A36" s="264">
        <v>24.0</v>
      </c>
      <c r="B36" s="265"/>
      <c r="C36" s="270"/>
      <c r="D36" s="265"/>
      <c r="E36" s="270" t="s">
        <v>889</v>
      </c>
      <c r="F36" s="265"/>
      <c r="G36" s="270"/>
      <c r="H36" s="265"/>
      <c r="I36" s="269"/>
      <c r="J36" s="269"/>
      <c r="K36" s="269"/>
      <c r="L36" s="183"/>
    </row>
    <row r="37" ht="15.75" customHeight="1">
      <c r="A37" s="264">
        <v>25.0</v>
      </c>
      <c r="B37" s="265"/>
      <c r="C37" s="266"/>
      <c r="D37" s="265"/>
      <c r="E37" s="266"/>
      <c r="F37" s="265" t="s">
        <v>893</v>
      </c>
      <c r="G37" s="266"/>
      <c r="H37" s="265"/>
      <c r="I37" s="269"/>
      <c r="J37" s="269"/>
      <c r="K37" s="269"/>
      <c r="L37" s="183"/>
    </row>
    <row r="38" ht="15.75" customHeight="1">
      <c r="A38" s="264">
        <v>26.0</v>
      </c>
      <c r="B38" s="265"/>
      <c r="C38" s="270"/>
      <c r="D38" s="265"/>
      <c r="E38" s="270"/>
      <c r="F38" s="265"/>
      <c r="G38" s="270" t="s">
        <v>894</v>
      </c>
      <c r="H38" s="265"/>
      <c r="I38" s="269"/>
      <c r="J38" s="269"/>
      <c r="K38" s="269"/>
      <c r="L38" s="183"/>
    </row>
    <row r="39" ht="15.75" customHeight="1">
      <c r="A39" s="264">
        <v>27.0</v>
      </c>
      <c r="B39" s="265"/>
      <c r="C39" s="270"/>
      <c r="D39" s="265" t="s">
        <v>895</v>
      </c>
      <c r="E39" s="270"/>
      <c r="F39" s="265"/>
      <c r="G39" s="270"/>
      <c r="H39" s="265"/>
      <c r="I39" s="269"/>
      <c r="J39" s="269"/>
      <c r="K39" s="269"/>
      <c r="L39" s="183"/>
    </row>
    <row r="40" ht="15.75" customHeight="1">
      <c r="A40" s="264">
        <v>28.0</v>
      </c>
      <c r="B40" s="265"/>
      <c r="C40" s="266"/>
      <c r="D40" s="265"/>
      <c r="E40" s="266"/>
      <c r="F40" s="265" t="s">
        <v>896</v>
      </c>
      <c r="G40" s="266" t="s">
        <v>859</v>
      </c>
      <c r="H40" s="265"/>
      <c r="I40" s="269"/>
      <c r="J40" s="269"/>
      <c r="K40" s="269"/>
      <c r="L40" s="183"/>
    </row>
    <row r="41" ht="15.75" customHeight="1">
      <c r="A41" s="264">
        <v>29.0</v>
      </c>
      <c r="B41" s="265"/>
      <c r="C41" s="270"/>
      <c r="D41" s="265"/>
      <c r="E41" s="270"/>
      <c r="F41" s="265" t="s">
        <v>897</v>
      </c>
      <c r="G41" s="270" t="s">
        <v>898</v>
      </c>
      <c r="H41" s="265"/>
      <c r="I41" s="269"/>
      <c r="J41" s="269"/>
      <c r="K41" s="269"/>
      <c r="L41" s="183"/>
    </row>
    <row r="42" ht="15.75" customHeight="1">
      <c r="A42" s="264">
        <v>30.0</v>
      </c>
      <c r="B42" s="265"/>
      <c r="C42" s="266"/>
      <c r="D42" s="265"/>
      <c r="E42" s="266"/>
      <c r="F42" s="265"/>
      <c r="G42" s="266" t="s">
        <v>892</v>
      </c>
      <c r="H42" s="265"/>
      <c r="I42" s="272"/>
      <c r="J42" s="272"/>
      <c r="K42" s="272"/>
      <c r="L42" s="183"/>
    </row>
    <row r="43" ht="15.75" customHeight="1">
      <c r="A43" s="264">
        <v>31.0</v>
      </c>
      <c r="B43" s="265"/>
      <c r="C43" s="270"/>
      <c r="D43" s="265"/>
      <c r="E43" s="270"/>
      <c r="F43" s="265"/>
      <c r="G43" s="270" t="s">
        <v>859</v>
      </c>
      <c r="H43" s="265" t="s">
        <v>707</v>
      </c>
      <c r="I43" s="272"/>
      <c r="J43" s="272"/>
      <c r="K43" s="272"/>
      <c r="L43" s="183"/>
    </row>
    <row r="44" ht="15.75" customHeight="1">
      <c r="A44" s="264">
        <v>32.0</v>
      </c>
      <c r="B44" s="265"/>
      <c r="C44" s="266"/>
      <c r="D44" s="265"/>
      <c r="E44" s="266"/>
      <c r="F44" s="265"/>
      <c r="G44" s="266" t="s">
        <v>878</v>
      </c>
      <c r="H44" s="265"/>
      <c r="I44" s="272"/>
      <c r="J44" s="272"/>
      <c r="K44" s="272"/>
      <c r="L44" s="183"/>
    </row>
    <row r="45" ht="15.75" customHeight="1">
      <c r="A45" s="264">
        <v>33.0</v>
      </c>
      <c r="B45" s="265"/>
      <c r="C45" s="270"/>
      <c r="D45" s="265"/>
      <c r="E45" s="270"/>
      <c r="F45" s="265"/>
      <c r="G45" s="270" t="s">
        <v>859</v>
      </c>
      <c r="H45" s="265"/>
      <c r="I45" s="272"/>
      <c r="J45" s="272"/>
      <c r="K45" s="272"/>
      <c r="L45" s="183"/>
    </row>
    <row r="46" ht="15.75" customHeight="1">
      <c r="A46" s="264">
        <v>34.0</v>
      </c>
      <c r="B46" s="265"/>
      <c r="C46" s="266"/>
      <c r="D46" s="265"/>
      <c r="E46" s="266"/>
      <c r="F46" s="265"/>
      <c r="G46" s="266" t="s">
        <v>899</v>
      </c>
      <c r="H46" s="265" t="s">
        <v>704</v>
      </c>
      <c r="I46" s="272"/>
      <c r="J46" s="272"/>
      <c r="K46" s="272"/>
      <c r="L46" s="183"/>
    </row>
    <row r="47" ht="15.75" customHeight="1">
      <c r="A47" s="264">
        <v>35.0</v>
      </c>
      <c r="B47" s="265"/>
      <c r="C47" s="270"/>
      <c r="D47" s="265"/>
      <c r="E47" s="270"/>
      <c r="F47" s="265"/>
      <c r="G47" s="270" t="s">
        <v>859</v>
      </c>
      <c r="H47" s="265" t="s">
        <v>704</v>
      </c>
      <c r="I47" s="269"/>
      <c r="J47" s="269"/>
      <c r="K47" s="269"/>
      <c r="L47" s="183"/>
    </row>
    <row r="48" ht="15.75" customHeight="1">
      <c r="A48" s="264">
        <v>36.0</v>
      </c>
      <c r="B48" s="265"/>
      <c r="C48" s="270"/>
      <c r="D48" s="265"/>
      <c r="E48" s="270"/>
      <c r="F48" s="265"/>
      <c r="G48" s="270"/>
      <c r="H48" s="265" t="s">
        <v>716</v>
      </c>
      <c r="I48" s="154"/>
      <c r="J48" s="154"/>
      <c r="K48" s="154"/>
      <c r="L48" s="183"/>
    </row>
    <row r="49" ht="15.75" customHeight="1">
      <c r="A49" s="264">
        <v>37.0</v>
      </c>
      <c r="B49" s="265"/>
      <c r="C49" s="270"/>
      <c r="D49" s="273"/>
      <c r="E49" s="267" t="s">
        <v>900</v>
      </c>
      <c r="F49" s="274"/>
      <c r="G49" s="275" t="s">
        <v>859</v>
      </c>
      <c r="H49" s="276"/>
      <c r="I49" s="154"/>
      <c r="J49" s="154"/>
      <c r="K49" s="154"/>
      <c r="L49" s="183"/>
    </row>
    <row r="50" ht="15.75" customHeight="1">
      <c r="A50" s="264">
        <v>38.0</v>
      </c>
      <c r="B50" s="265"/>
      <c r="C50" s="270"/>
      <c r="D50" s="264" t="s">
        <v>901</v>
      </c>
      <c r="E50" s="264"/>
      <c r="F50" s="274"/>
      <c r="G50" s="277"/>
      <c r="H50" s="276"/>
      <c r="I50" s="154"/>
      <c r="J50" s="154"/>
      <c r="K50" s="154"/>
      <c r="L50" s="183"/>
    </row>
    <row r="51" ht="15.75" customHeight="1">
      <c r="A51" s="264">
        <v>39.0</v>
      </c>
      <c r="B51" s="278"/>
      <c r="C51" s="33"/>
      <c r="D51" s="264"/>
      <c r="E51" s="264"/>
      <c r="F51" s="274"/>
      <c r="G51" s="275" t="s">
        <v>892</v>
      </c>
      <c r="H51" s="276"/>
      <c r="I51" s="154"/>
      <c r="J51" s="154"/>
      <c r="K51" s="154"/>
      <c r="L51" s="183"/>
    </row>
    <row r="52" ht="15.75" customHeight="1">
      <c r="A52" s="264">
        <v>40.0</v>
      </c>
      <c r="B52" s="278"/>
      <c r="C52" s="33"/>
      <c r="D52" s="264"/>
      <c r="E52" s="264"/>
      <c r="F52" s="274"/>
      <c r="G52" s="275" t="s">
        <v>878</v>
      </c>
      <c r="H52" s="276"/>
      <c r="I52" s="154"/>
      <c r="J52" s="154"/>
      <c r="K52" s="154"/>
      <c r="L52" s="183"/>
    </row>
    <row r="53" ht="15.75" customHeight="1">
      <c r="A53" s="264">
        <v>41.0</v>
      </c>
      <c r="B53" s="265"/>
      <c r="C53" s="270"/>
      <c r="D53" s="264" t="s">
        <v>901</v>
      </c>
      <c r="E53" s="264"/>
      <c r="F53" s="267"/>
      <c r="G53" s="279"/>
      <c r="H53" s="276"/>
      <c r="I53" s="154"/>
      <c r="J53" s="154"/>
      <c r="K53" s="154"/>
      <c r="L53" s="183"/>
    </row>
    <row r="54" ht="15.75" customHeight="1">
      <c r="A54" s="264">
        <v>42.0</v>
      </c>
      <c r="B54" s="265"/>
      <c r="C54" s="266"/>
      <c r="D54" s="264"/>
      <c r="E54" s="264"/>
      <c r="F54" s="273" t="s">
        <v>902</v>
      </c>
      <c r="G54" s="275" t="s">
        <v>878</v>
      </c>
      <c r="H54" s="280" t="s">
        <v>843</v>
      </c>
      <c r="I54" s="281"/>
      <c r="J54" s="281"/>
      <c r="K54" s="281"/>
      <c r="L54" s="183"/>
    </row>
    <row r="55" ht="15.75" customHeight="1">
      <c r="A55" s="264">
        <v>43.0</v>
      </c>
      <c r="B55" s="265"/>
      <c r="C55" s="266"/>
      <c r="D55" s="264"/>
      <c r="E55" s="264" t="s">
        <v>903</v>
      </c>
      <c r="F55" s="264" t="s">
        <v>904</v>
      </c>
      <c r="G55" s="277"/>
      <c r="H55" s="282"/>
      <c r="I55" s="283"/>
      <c r="J55" s="283"/>
      <c r="K55" s="283"/>
      <c r="L55" s="183"/>
    </row>
    <row r="56" ht="15.75" customHeight="1">
      <c r="A56" s="264">
        <v>44.0</v>
      </c>
      <c r="B56" s="265"/>
      <c r="C56" s="266"/>
      <c r="D56" s="264" t="s">
        <v>901</v>
      </c>
      <c r="E56" s="264" t="s">
        <v>905</v>
      </c>
      <c r="F56" s="267" t="s">
        <v>906</v>
      </c>
      <c r="G56" s="275" t="s">
        <v>878</v>
      </c>
      <c r="H56" s="282"/>
      <c r="I56" s="283"/>
      <c r="J56" s="283"/>
      <c r="K56" s="283"/>
      <c r="L56" s="183"/>
    </row>
    <row r="57" ht="15.75" customHeight="1">
      <c r="A57" s="264">
        <v>45.0</v>
      </c>
      <c r="B57" s="265"/>
      <c r="C57" s="266"/>
      <c r="D57" s="284"/>
      <c r="E57" s="264"/>
      <c r="F57" s="43" t="s">
        <v>907</v>
      </c>
      <c r="G57" s="285"/>
      <c r="H57" s="286" t="s">
        <v>908</v>
      </c>
      <c r="I57" s="283"/>
      <c r="J57" s="283"/>
      <c r="K57" s="283"/>
      <c r="L57" s="183"/>
    </row>
    <row r="58" ht="15.75" customHeight="1">
      <c r="A58" s="264">
        <v>46.0</v>
      </c>
      <c r="B58" s="265"/>
      <c r="C58" s="266"/>
      <c r="D58" s="264"/>
      <c r="E58" s="264"/>
      <c r="F58" s="267" t="s">
        <v>909</v>
      </c>
      <c r="G58" s="275" t="s">
        <v>910</v>
      </c>
      <c r="H58" s="286" t="s">
        <v>713</v>
      </c>
      <c r="I58" s="283"/>
      <c r="J58" s="283"/>
      <c r="K58" s="283"/>
      <c r="L58" s="183"/>
    </row>
    <row r="59" ht="15.75" customHeight="1">
      <c r="A59" s="264">
        <v>47.0</v>
      </c>
      <c r="B59" s="287"/>
      <c r="C59" s="287"/>
      <c r="D59" s="288"/>
      <c r="E59" s="288"/>
      <c r="F59" s="288"/>
      <c r="G59" s="289"/>
      <c r="H59" s="290" t="s">
        <v>911</v>
      </c>
      <c r="I59" s="288"/>
      <c r="J59" s="288"/>
      <c r="K59" s="288"/>
      <c r="L59" s="183"/>
    </row>
    <row r="60" ht="15.75" customHeight="1">
      <c r="A60" s="264">
        <v>48.0</v>
      </c>
      <c r="B60" s="278"/>
      <c r="C60" s="33"/>
      <c r="D60" s="291"/>
      <c r="E60" s="291"/>
      <c r="F60" s="291"/>
      <c r="G60" s="275" t="s">
        <v>859</v>
      </c>
      <c r="H60" s="272"/>
      <c r="I60" s="272"/>
      <c r="J60" s="272"/>
      <c r="K60" s="272"/>
      <c r="L60" s="183"/>
    </row>
    <row r="61" ht="15.75" customHeight="1">
      <c r="A61" s="1"/>
      <c r="B61" s="292"/>
      <c r="C61" s="293"/>
      <c r="D61" s="294"/>
      <c r="E61" s="294"/>
      <c r="F61" s="294"/>
      <c r="G61" s="295"/>
      <c r="H61" s="294"/>
      <c r="I61" s="294"/>
      <c r="J61" s="294"/>
      <c r="K61" s="294"/>
      <c r="L61" s="183"/>
    </row>
    <row r="62" ht="15.75" customHeight="1">
      <c r="A62" s="1"/>
      <c r="B62" s="292"/>
      <c r="C62" s="293"/>
      <c r="D62" s="294"/>
      <c r="E62" s="294"/>
      <c r="F62" s="294"/>
      <c r="G62" s="295"/>
      <c r="H62" s="294"/>
      <c r="I62" s="294"/>
      <c r="J62" s="294"/>
      <c r="K62" s="294"/>
      <c r="L62" s="183"/>
    </row>
    <row r="63" ht="15.75" customHeight="1">
      <c r="A63" s="1"/>
      <c r="B63" s="292"/>
      <c r="C63" s="293"/>
      <c r="D63" s="294"/>
      <c r="E63" s="294"/>
      <c r="F63" s="294"/>
      <c r="G63" s="295"/>
      <c r="H63" s="294"/>
      <c r="I63" s="294"/>
      <c r="J63" s="294"/>
      <c r="K63" s="294"/>
      <c r="L63" s="183"/>
    </row>
    <row r="64" ht="15.75" customHeight="1">
      <c r="B64" s="99" t="s">
        <v>684</v>
      </c>
      <c r="C64" s="100"/>
      <c r="D64" s="296"/>
      <c r="E64" s="21" t="s">
        <v>685</v>
      </c>
      <c r="G64" s="21"/>
      <c r="H64" s="114"/>
      <c r="J64" s="22" t="s">
        <v>686</v>
      </c>
    </row>
    <row r="65" ht="15.75" customHeight="1"/>
    <row r="66" ht="15.75" customHeight="1"/>
    <row r="67" ht="15.75" customHeight="1"/>
    <row r="68" ht="15.75" customHeight="1">
      <c r="B68" s="228"/>
      <c r="C68" s="228"/>
      <c r="D68" s="5"/>
      <c r="E68" s="228"/>
      <c r="G68" s="5"/>
    </row>
    <row r="69" ht="15.75" customHeight="1">
      <c r="D69" s="56"/>
      <c r="G69" s="5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9:K9"/>
    <mergeCell ref="E64:F64"/>
    <mergeCell ref="A1:K1"/>
    <mergeCell ref="A2:K2"/>
    <mergeCell ref="A3:K3"/>
    <mergeCell ref="A4:K4"/>
    <mergeCell ref="A5:K5"/>
    <mergeCell ref="A6:K6"/>
    <mergeCell ref="A8:K8"/>
  </mergeCells>
  <printOptions/>
  <pageMargins bottom="0.5905511811023623" footer="0.0" header="0.0" left="0.5118110236220472" right="0.1968503937007874" top="0.5905511811023623"/>
  <pageSetup orientation="landscape"/>
  <rowBreaks count="1" manualBreakCount="1">
    <brk id="36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75"/>
    <col customWidth="1" min="3" max="10" width="6.63"/>
    <col customWidth="1" min="11" max="11" width="8.25"/>
    <col customWidth="1" min="12" max="13" width="6.63"/>
    <col customWidth="1" min="14" max="14" width="5.0"/>
    <col customWidth="1" min="15" max="19" width="6.63"/>
    <col customWidth="1" min="20" max="20" width="5.0"/>
    <col customWidth="1" min="21" max="26" width="6.63"/>
    <col customWidth="1" min="27" max="27" width="12.0"/>
    <col customWidth="1" min="28" max="28" width="8.75"/>
    <col customWidth="1" min="29" max="29" width="7.13"/>
    <col customWidth="1" min="30" max="30" width="7.88"/>
    <col customWidth="1" min="31" max="31" width="31.25"/>
    <col customWidth="1" min="32" max="32" width="7.25"/>
    <col customWidth="1" min="33" max="33" width="9.13"/>
    <col customWidth="1" min="34" max="39" width="8.63"/>
  </cols>
  <sheetData>
    <row r="1" ht="15.0" customHeight="1">
      <c r="A1" s="1" t="s">
        <v>0</v>
      </c>
      <c r="AA1" s="2"/>
      <c r="AB1" s="2"/>
      <c r="AC1" s="2"/>
      <c r="AD1" s="2"/>
      <c r="AE1" s="2"/>
      <c r="AF1" s="2"/>
      <c r="AG1" s="2"/>
      <c r="AH1" s="2"/>
    </row>
    <row r="2">
      <c r="A2" s="3" t="s">
        <v>1</v>
      </c>
      <c r="AA2" s="4"/>
      <c r="AB2" s="4"/>
      <c r="AC2" s="4"/>
      <c r="AD2" s="4"/>
      <c r="AE2" s="4"/>
    </row>
    <row r="3" ht="18.75" customHeight="1">
      <c r="A3" s="5" t="s">
        <v>2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ht="15.0" customHeight="1">
      <c r="A4" s="1" t="s">
        <v>3</v>
      </c>
      <c r="AA4" s="2"/>
      <c r="AB4" s="2"/>
      <c r="AC4" s="2"/>
      <c r="AD4" s="2"/>
      <c r="AE4" s="2"/>
      <c r="AF4" s="2"/>
      <c r="AG4" s="2"/>
      <c r="AH4" s="2"/>
      <c r="AI4" s="2"/>
    </row>
    <row r="5" ht="15.0" customHeight="1">
      <c r="A5" s="1" t="s">
        <v>4</v>
      </c>
      <c r="AA5" s="2"/>
      <c r="AB5" s="2"/>
      <c r="AC5" s="2"/>
      <c r="AD5" s="2"/>
      <c r="AE5" s="2"/>
      <c r="AF5" s="2"/>
      <c r="AG5" s="2"/>
      <c r="AH5" s="2"/>
      <c r="AI5" s="2"/>
    </row>
    <row r="6" ht="15.0" customHeight="1">
      <c r="A6" s="7" t="s">
        <v>5</v>
      </c>
      <c r="AC6" s="8"/>
      <c r="AD6" s="8"/>
      <c r="AE6" s="8"/>
      <c r="AF6" s="8"/>
      <c r="AG6" s="8"/>
      <c r="AH6" s="8"/>
      <c r="AI6" s="8"/>
    </row>
    <row r="8">
      <c r="A8" s="9" t="s">
        <v>912</v>
      </c>
      <c r="AA8" s="10"/>
      <c r="AB8" s="10"/>
      <c r="AC8" s="10"/>
      <c r="AD8" s="10"/>
      <c r="AE8" s="10"/>
      <c r="AF8" s="10"/>
      <c r="AG8" s="10"/>
    </row>
    <row r="9">
      <c r="A9" s="24" t="s">
        <v>913</v>
      </c>
      <c r="AA9" s="101"/>
      <c r="AB9" s="101"/>
      <c r="AC9" s="101"/>
      <c r="AD9" s="102"/>
      <c r="AE9" s="102"/>
    </row>
    <row r="10">
      <c r="AA10" s="101"/>
      <c r="AB10" s="101"/>
      <c r="AC10" s="101"/>
      <c r="AD10" s="102"/>
      <c r="AE10" s="102"/>
    </row>
    <row r="11">
      <c r="AB11" s="101"/>
      <c r="AC11" s="101"/>
      <c r="AD11" s="102"/>
      <c r="AE11" s="102"/>
    </row>
    <row r="17">
      <c r="AB17" s="149"/>
      <c r="AC17" s="149"/>
      <c r="AD17" s="149"/>
      <c r="AE17" s="149"/>
      <c r="AF17" s="149"/>
      <c r="AG17" s="149"/>
      <c r="AH17" s="151"/>
    </row>
    <row r="18" ht="15.75" customHeight="1">
      <c r="AA18" s="149"/>
      <c r="AB18" s="150"/>
      <c r="AC18" s="150"/>
      <c r="AD18" s="150"/>
      <c r="AE18" s="150"/>
      <c r="AF18" s="150"/>
      <c r="AG18" s="150"/>
      <c r="AH18" s="151"/>
    </row>
    <row r="19" ht="15.75" customHeight="1">
      <c r="AA19" s="153"/>
      <c r="AB19" s="153"/>
      <c r="AC19" s="153"/>
      <c r="AD19" s="153"/>
      <c r="AE19" s="153"/>
      <c r="AF19" s="153"/>
      <c r="AG19" s="153"/>
      <c r="AH19" s="151"/>
    </row>
    <row r="20" ht="15.75" customHeight="1">
      <c r="AA20" s="153"/>
      <c r="AB20" s="153"/>
      <c r="AC20" s="153"/>
      <c r="AD20" s="153"/>
      <c r="AE20" s="153"/>
      <c r="AF20" s="153"/>
      <c r="AG20" s="153"/>
      <c r="AH20" s="151"/>
    </row>
    <row r="21" ht="15.75" customHeight="1">
      <c r="AA21" s="153"/>
      <c r="AB21" s="153"/>
      <c r="AC21" s="153"/>
      <c r="AD21" s="153"/>
      <c r="AE21" s="153"/>
      <c r="AF21" s="153"/>
      <c r="AG21" s="153"/>
      <c r="AH21" s="151"/>
    </row>
    <row r="22" ht="15.75" customHeight="1">
      <c r="AA22" s="153"/>
      <c r="AB22" s="153"/>
      <c r="AC22" s="153"/>
      <c r="AD22" s="153"/>
      <c r="AE22" s="153"/>
      <c r="AF22" s="153"/>
      <c r="AG22" s="153"/>
      <c r="AH22" s="151"/>
    </row>
    <row r="23" ht="15.75" customHeight="1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</row>
    <row r="24" ht="15.75" customHeight="1"/>
    <row r="25" ht="15.75" customHeight="1"/>
    <row r="26" ht="15.75" customHeight="1"/>
    <row r="27" ht="15.75" customHeight="1"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ht="15.75" customHeight="1">
      <c r="A28" s="297" t="s">
        <v>9</v>
      </c>
      <c r="B28" s="298" t="s">
        <v>27</v>
      </c>
      <c r="C28" s="299"/>
      <c r="D28" s="299"/>
      <c r="E28" s="299"/>
      <c r="F28" s="299"/>
      <c r="G28" s="300"/>
      <c r="H28" s="298" t="s">
        <v>125</v>
      </c>
      <c r="I28" s="299"/>
      <c r="J28" s="299"/>
      <c r="K28" s="299"/>
      <c r="L28" s="299"/>
      <c r="M28" s="300"/>
      <c r="N28" s="298" t="s">
        <v>63</v>
      </c>
      <c r="O28" s="299"/>
      <c r="P28" s="299"/>
      <c r="Q28" s="299"/>
      <c r="R28" s="299"/>
      <c r="S28" s="300"/>
      <c r="T28" s="298" t="s">
        <v>914</v>
      </c>
      <c r="U28" s="299"/>
      <c r="V28" s="299"/>
      <c r="W28" s="299"/>
      <c r="X28" s="299"/>
      <c r="Y28" s="300"/>
    </row>
    <row r="29" ht="26.25" customHeight="1">
      <c r="A29" s="301" t="s">
        <v>805</v>
      </c>
      <c r="B29" s="302">
        <v>61.0</v>
      </c>
      <c r="C29" s="106"/>
      <c r="D29" s="302">
        <v>30.0</v>
      </c>
      <c r="E29" s="106"/>
      <c r="F29" s="302">
        <f>B29+D29</f>
        <v>91</v>
      </c>
      <c r="G29" s="106"/>
      <c r="H29" s="302">
        <v>14.0</v>
      </c>
      <c r="I29" s="106"/>
      <c r="J29" s="302">
        <v>3.0</v>
      </c>
      <c r="K29" s="106"/>
      <c r="L29" s="302">
        <f>H29+J29</f>
        <v>17</v>
      </c>
      <c r="M29" s="106"/>
      <c r="N29" s="302">
        <v>3.0</v>
      </c>
      <c r="O29" s="106"/>
      <c r="P29" s="302">
        <v>2.0</v>
      </c>
      <c r="Q29" s="106"/>
      <c r="R29" s="302">
        <f>N29+P29</f>
        <v>5</v>
      </c>
      <c r="S29" s="106"/>
      <c r="T29" s="302">
        <v>49.0</v>
      </c>
      <c r="U29" s="106"/>
      <c r="V29" s="302">
        <v>42.0</v>
      </c>
      <c r="W29" s="106"/>
      <c r="X29" s="302">
        <f>T29+V29</f>
        <v>91</v>
      </c>
      <c r="Y29" s="106"/>
    </row>
    <row r="30" ht="15.75" customHeight="1">
      <c r="A30" s="303">
        <v>204.0</v>
      </c>
      <c r="B30" s="304" t="s">
        <v>915</v>
      </c>
      <c r="C30" s="305" t="s">
        <v>762</v>
      </c>
      <c r="D30" s="304" t="s">
        <v>916</v>
      </c>
      <c r="E30" s="305" t="s">
        <v>762</v>
      </c>
      <c r="F30" s="304" t="s">
        <v>917</v>
      </c>
      <c r="G30" s="306" t="s">
        <v>762</v>
      </c>
      <c r="H30" s="304" t="s">
        <v>915</v>
      </c>
      <c r="I30" s="305" t="s">
        <v>762</v>
      </c>
      <c r="J30" s="304" t="s">
        <v>916</v>
      </c>
      <c r="K30" s="305" t="s">
        <v>762</v>
      </c>
      <c r="L30" s="304" t="s">
        <v>917</v>
      </c>
      <c r="M30" s="306" t="s">
        <v>762</v>
      </c>
      <c r="N30" s="304" t="s">
        <v>915</v>
      </c>
      <c r="O30" s="305" t="s">
        <v>762</v>
      </c>
      <c r="P30" s="304" t="s">
        <v>916</v>
      </c>
      <c r="Q30" s="305" t="s">
        <v>762</v>
      </c>
      <c r="R30" s="304" t="s">
        <v>917</v>
      </c>
      <c r="S30" s="306" t="s">
        <v>762</v>
      </c>
      <c r="T30" s="304" t="s">
        <v>915</v>
      </c>
      <c r="U30" s="305" t="s">
        <v>762</v>
      </c>
      <c r="V30" s="304" t="s">
        <v>916</v>
      </c>
      <c r="W30" s="305" t="s">
        <v>762</v>
      </c>
      <c r="X30" s="304" t="s">
        <v>917</v>
      </c>
      <c r="Y30" s="306" t="s">
        <v>762</v>
      </c>
    </row>
    <row r="31" ht="15.75" customHeight="1">
      <c r="A31" s="307" t="s">
        <v>799</v>
      </c>
      <c r="B31" s="308">
        <v>57.0</v>
      </c>
      <c r="C31" s="309">
        <f>B31/B29</f>
        <v>0.9344262295</v>
      </c>
      <c r="D31" s="310">
        <v>28.0</v>
      </c>
      <c r="E31" s="309">
        <f>D31/D29</f>
        <v>0.9333333333</v>
      </c>
      <c r="F31" s="310">
        <f t="shared" ref="F31:F34" si="1">B31+D31</f>
        <v>85</v>
      </c>
      <c r="G31" s="311">
        <f>F31/F29</f>
        <v>0.9340659341</v>
      </c>
      <c r="H31" s="308">
        <v>10.0</v>
      </c>
      <c r="I31" s="309">
        <f>H31/H29</f>
        <v>0.7142857143</v>
      </c>
      <c r="J31" s="310">
        <v>3.0</v>
      </c>
      <c r="K31" s="309">
        <f>J31/J29</f>
        <v>1</v>
      </c>
      <c r="L31" s="310">
        <f t="shared" ref="L31:L34" si="2">H31+J31</f>
        <v>13</v>
      </c>
      <c r="M31" s="311">
        <f>L31/L29</f>
        <v>0.7647058824</v>
      </c>
      <c r="N31" s="312">
        <v>2.0</v>
      </c>
      <c r="O31" s="309">
        <f>N31/N29</f>
        <v>0.6666666667</v>
      </c>
      <c r="P31" s="313">
        <v>2.0</v>
      </c>
      <c r="Q31" s="309">
        <f>P31/P29</f>
        <v>1</v>
      </c>
      <c r="R31" s="310">
        <f t="shared" ref="R31:R34" si="3">N31+P31</f>
        <v>4</v>
      </c>
      <c r="S31" s="311">
        <f>R31/R29</f>
        <v>0.8</v>
      </c>
      <c r="T31" s="308">
        <v>42.0</v>
      </c>
      <c r="U31" s="309">
        <f>T31/T29</f>
        <v>0.8571428571</v>
      </c>
      <c r="V31" s="314">
        <v>40.0</v>
      </c>
      <c r="W31" s="309">
        <f>V31/V29</f>
        <v>0.9523809524</v>
      </c>
      <c r="X31" s="310">
        <f t="shared" ref="X31:X34" si="4">T31+V31</f>
        <v>82</v>
      </c>
      <c r="Y31" s="311">
        <f>X31/X29</f>
        <v>0.9010989011</v>
      </c>
    </row>
    <row r="32" ht="15.75" customHeight="1">
      <c r="A32" s="301" t="s">
        <v>800</v>
      </c>
      <c r="B32" s="315">
        <v>54.0</v>
      </c>
      <c r="C32" s="316">
        <f>B32/B31</f>
        <v>0.9473684211</v>
      </c>
      <c r="D32" s="317">
        <v>28.0</v>
      </c>
      <c r="E32" s="316">
        <f>D32/D31</f>
        <v>1</v>
      </c>
      <c r="F32" s="317">
        <f t="shared" si="1"/>
        <v>82</v>
      </c>
      <c r="G32" s="311">
        <f>F32/F31</f>
        <v>0.9647058824</v>
      </c>
      <c r="H32" s="318">
        <v>10.0</v>
      </c>
      <c r="I32" s="316">
        <f>H32/H31</f>
        <v>1</v>
      </c>
      <c r="J32" s="317">
        <v>3.0</v>
      </c>
      <c r="K32" s="316">
        <f>J32/J31</f>
        <v>1</v>
      </c>
      <c r="L32" s="310">
        <f t="shared" si="2"/>
        <v>13</v>
      </c>
      <c r="M32" s="311">
        <f>L32/L31</f>
        <v>1</v>
      </c>
      <c r="N32" s="312">
        <v>2.0</v>
      </c>
      <c r="O32" s="316">
        <f>N32/N31</f>
        <v>1</v>
      </c>
      <c r="P32" s="312">
        <v>2.0</v>
      </c>
      <c r="Q32" s="316">
        <f>P32/P31</f>
        <v>1</v>
      </c>
      <c r="R32" s="319">
        <f t="shared" si="3"/>
        <v>4</v>
      </c>
      <c r="S32" s="311">
        <f>R32/R31</f>
        <v>1</v>
      </c>
      <c r="T32" s="318">
        <v>37.0</v>
      </c>
      <c r="U32" s="316">
        <f>T32/T31</f>
        <v>0.880952381</v>
      </c>
      <c r="V32" s="320">
        <v>38.0</v>
      </c>
      <c r="W32" s="316">
        <f>V32/V31</f>
        <v>0.95</v>
      </c>
      <c r="X32" s="310">
        <f t="shared" si="4"/>
        <v>75</v>
      </c>
      <c r="Y32" s="311">
        <f>X32/X31</f>
        <v>0.9146341463</v>
      </c>
    </row>
    <row r="33" ht="15.75" customHeight="1">
      <c r="A33" s="301" t="s">
        <v>806</v>
      </c>
      <c r="B33" s="315">
        <v>3.0</v>
      </c>
      <c r="C33" s="316">
        <f>B33/B31</f>
        <v>0.05263157895</v>
      </c>
      <c r="D33" s="317">
        <v>0.0</v>
      </c>
      <c r="E33" s="316">
        <f>D33/D31</f>
        <v>0</v>
      </c>
      <c r="F33" s="317">
        <f t="shared" si="1"/>
        <v>3</v>
      </c>
      <c r="G33" s="311">
        <f t="shared" ref="G33:G34" si="5">F33/F31</f>
        <v>0.03529411765</v>
      </c>
      <c r="H33" s="318">
        <v>0.0</v>
      </c>
      <c r="I33" s="316">
        <f>H33/H31</f>
        <v>0</v>
      </c>
      <c r="J33" s="317">
        <v>0.0</v>
      </c>
      <c r="K33" s="316">
        <f>J33/J31</f>
        <v>0</v>
      </c>
      <c r="L33" s="310">
        <f t="shared" si="2"/>
        <v>0</v>
      </c>
      <c r="M33" s="311">
        <f t="shared" ref="M33:M34" si="6">L33/L31</f>
        <v>0</v>
      </c>
      <c r="N33" s="321">
        <v>0.0</v>
      </c>
      <c r="O33" s="316">
        <f>N33/N31</f>
        <v>0</v>
      </c>
      <c r="P33" s="321">
        <v>0.0</v>
      </c>
      <c r="Q33" s="316">
        <f>P33/P31</f>
        <v>0</v>
      </c>
      <c r="R33" s="319">
        <f t="shared" si="3"/>
        <v>0</v>
      </c>
      <c r="S33" s="311">
        <f t="shared" ref="S33:S34" si="7">R33/R31</f>
        <v>0</v>
      </c>
      <c r="T33" s="318">
        <v>4.0</v>
      </c>
      <c r="U33" s="316">
        <f>T33/T31</f>
        <v>0.09523809524</v>
      </c>
      <c r="V33" s="322">
        <v>2.0</v>
      </c>
      <c r="W33" s="316">
        <f>V33/V31</f>
        <v>0.05</v>
      </c>
      <c r="X33" s="310">
        <f t="shared" si="4"/>
        <v>6</v>
      </c>
      <c r="Y33" s="311">
        <f t="shared" ref="Y33:Y34" si="8">X33/X31</f>
        <v>0.07317073171</v>
      </c>
    </row>
    <row r="34" ht="15.75" customHeight="1">
      <c r="A34" s="301" t="s">
        <v>807</v>
      </c>
      <c r="B34" s="315">
        <v>0.0</v>
      </c>
      <c r="C34" s="316">
        <f>B34/B31</f>
        <v>0</v>
      </c>
      <c r="D34" s="317">
        <v>0.0</v>
      </c>
      <c r="E34" s="316">
        <f>D34/D31</f>
        <v>0</v>
      </c>
      <c r="F34" s="317">
        <f t="shared" si="1"/>
        <v>0</v>
      </c>
      <c r="G34" s="311">
        <f t="shared" si="5"/>
        <v>0</v>
      </c>
      <c r="H34" s="323">
        <v>0.0</v>
      </c>
      <c r="I34" s="316">
        <f>H34/H31</f>
        <v>0</v>
      </c>
      <c r="J34" s="317">
        <v>0.0</v>
      </c>
      <c r="K34" s="316">
        <f>J34/J31</f>
        <v>0</v>
      </c>
      <c r="L34" s="310">
        <f t="shared" si="2"/>
        <v>0</v>
      </c>
      <c r="M34" s="311">
        <f t="shared" si="6"/>
        <v>0</v>
      </c>
      <c r="N34" s="323">
        <v>0.0</v>
      </c>
      <c r="O34" s="316">
        <f>N34/N31</f>
        <v>0</v>
      </c>
      <c r="P34" s="323">
        <v>0.0</v>
      </c>
      <c r="Q34" s="316">
        <f>P34/P31</f>
        <v>0</v>
      </c>
      <c r="R34" s="319">
        <f t="shared" si="3"/>
        <v>0</v>
      </c>
      <c r="S34" s="311">
        <f t="shared" si="7"/>
        <v>0</v>
      </c>
      <c r="T34" s="323">
        <v>1.0</v>
      </c>
      <c r="U34" s="316">
        <f>T34/T31</f>
        <v>0.02380952381</v>
      </c>
      <c r="V34" s="317">
        <v>0.0</v>
      </c>
      <c r="W34" s="316">
        <f>V34/V31</f>
        <v>0</v>
      </c>
      <c r="X34" s="310">
        <f t="shared" si="4"/>
        <v>1</v>
      </c>
      <c r="Y34" s="311">
        <f t="shared" si="8"/>
        <v>0.01333333333</v>
      </c>
    </row>
    <row r="35" ht="15.75" customHeight="1">
      <c r="B35" s="180"/>
      <c r="C35" s="180"/>
      <c r="D35" s="180"/>
      <c r="E35" s="180"/>
      <c r="F35" s="180"/>
      <c r="G35" s="180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ht="15.75" customHeight="1"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201"/>
      <c r="O36" s="201"/>
      <c r="P36" s="201"/>
      <c r="Q36" s="201"/>
      <c r="R36" s="201"/>
      <c r="S36" s="201"/>
      <c r="T36" s="152"/>
      <c r="U36" s="152"/>
      <c r="V36" s="152"/>
      <c r="W36" s="152"/>
      <c r="X36" s="152"/>
      <c r="Y36" s="152"/>
      <c r="Z36" s="201"/>
    </row>
    <row r="37" ht="15.75" customHeight="1"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201"/>
      <c r="O37" s="201"/>
      <c r="P37" s="201"/>
      <c r="Q37" s="183"/>
      <c r="T37" s="152"/>
      <c r="U37" s="152"/>
      <c r="V37" s="152"/>
      <c r="W37" s="152"/>
      <c r="X37" s="152"/>
      <c r="Y37" s="152"/>
      <c r="Z37" s="201"/>
    </row>
    <row r="38" ht="15.75" customHeight="1"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201"/>
      <c r="O38" s="201"/>
      <c r="P38" s="201"/>
      <c r="Q38" s="201"/>
      <c r="R38" s="201"/>
      <c r="S38" s="201"/>
      <c r="T38" s="152"/>
      <c r="U38" s="152"/>
      <c r="V38" s="152"/>
      <c r="W38" s="152"/>
      <c r="X38" s="152"/>
      <c r="Y38" s="152"/>
      <c r="Z38" s="201"/>
    </row>
    <row r="39" ht="15.75" customHeight="1">
      <c r="A39" s="146" t="s">
        <v>684</v>
      </c>
      <c r="C39" s="100"/>
      <c r="D39" s="100"/>
      <c r="E39" s="100"/>
      <c r="F39" s="100"/>
      <c r="G39" s="100"/>
      <c r="H39" s="114"/>
      <c r="J39" s="21"/>
      <c r="K39" s="21"/>
      <c r="L39" s="21"/>
      <c r="M39" s="21" t="s">
        <v>685</v>
      </c>
      <c r="O39" s="21"/>
      <c r="P39" s="21"/>
      <c r="Q39" s="21"/>
      <c r="R39" s="21"/>
      <c r="S39" s="21"/>
      <c r="T39" s="114"/>
      <c r="V39" s="22"/>
      <c r="W39" s="22"/>
      <c r="X39" s="22" t="s">
        <v>686</v>
      </c>
      <c r="Y39" s="22"/>
    </row>
    <row r="40" ht="15.75" customHeight="1"/>
    <row r="41" ht="15.75" customHeight="1">
      <c r="I41" s="324"/>
    </row>
    <row r="42" ht="15.75" customHeight="1">
      <c r="I42" s="324"/>
    </row>
    <row r="43" ht="15.75" customHeight="1">
      <c r="I43" s="324"/>
    </row>
    <row r="44" ht="15.75" customHeight="1">
      <c r="D44" s="281" t="s">
        <v>805</v>
      </c>
      <c r="E44" s="281">
        <v>77.0</v>
      </c>
      <c r="F44" s="281"/>
      <c r="G44" s="281"/>
      <c r="H44" s="325" t="s">
        <v>918</v>
      </c>
      <c r="I44" s="325" t="s">
        <v>919</v>
      </c>
      <c r="J44" s="281"/>
      <c r="M44" s="281" t="s">
        <v>805</v>
      </c>
      <c r="N44" s="281">
        <v>127.0</v>
      </c>
      <c r="O44" s="281"/>
      <c r="P44" s="281"/>
      <c r="Q44" s="325" t="s">
        <v>920</v>
      </c>
      <c r="R44" s="325" t="s">
        <v>921</v>
      </c>
      <c r="S44" s="281"/>
    </row>
    <row r="45" ht="15.75" customHeight="1">
      <c r="D45" s="281" t="s">
        <v>33</v>
      </c>
      <c r="E45" s="281">
        <v>77.0</v>
      </c>
      <c r="F45" s="325" t="s">
        <v>757</v>
      </c>
      <c r="G45" s="325" t="s">
        <v>758</v>
      </c>
      <c r="H45" s="281" t="s">
        <v>922</v>
      </c>
      <c r="I45" s="281" t="s">
        <v>923</v>
      </c>
      <c r="J45" s="281" t="s">
        <v>924</v>
      </c>
      <c r="M45" s="325" t="s">
        <v>925</v>
      </c>
      <c r="N45" s="281">
        <v>127.0</v>
      </c>
      <c r="O45" s="325" t="s">
        <v>758</v>
      </c>
      <c r="P45" s="325" t="s">
        <v>757</v>
      </c>
      <c r="Q45" s="281" t="s">
        <v>922</v>
      </c>
      <c r="R45" s="281" t="s">
        <v>923</v>
      </c>
      <c r="S45" s="281" t="s">
        <v>924</v>
      </c>
    </row>
    <row r="46" ht="15.75" customHeight="1">
      <c r="D46" s="281" t="s">
        <v>27</v>
      </c>
      <c r="E46" s="281">
        <v>30.0</v>
      </c>
      <c r="F46" s="281">
        <v>27.0</v>
      </c>
      <c r="G46" s="281">
        <v>3.0</v>
      </c>
      <c r="H46" s="281">
        <v>28.0</v>
      </c>
      <c r="I46" s="281">
        <v>2.0</v>
      </c>
      <c r="J46" s="281">
        <v>0.0</v>
      </c>
      <c r="L46" s="141">
        <v>92.0</v>
      </c>
      <c r="M46" s="281" t="s">
        <v>27</v>
      </c>
      <c r="N46" s="281">
        <v>62.0</v>
      </c>
      <c r="O46" s="281">
        <v>9.0</v>
      </c>
      <c r="P46" s="281">
        <f t="shared" ref="P46:P49" si="9">N46-O46</f>
        <v>53</v>
      </c>
      <c r="Q46" s="281">
        <v>56.0</v>
      </c>
      <c r="R46" s="281">
        <v>4.0</v>
      </c>
      <c r="S46" s="281">
        <v>2.0</v>
      </c>
    </row>
    <row r="47" ht="15.75" customHeight="1">
      <c r="D47" s="281" t="s">
        <v>125</v>
      </c>
      <c r="E47" s="281">
        <v>3.0</v>
      </c>
      <c r="F47" s="281">
        <v>3.0</v>
      </c>
      <c r="G47" s="281">
        <v>0.0</v>
      </c>
      <c r="H47" s="281">
        <v>3.0</v>
      </c>
      <c r="I47" s="281">
        <v>0.0</v>
      </c>
      <c r="J47" s="281">
        <v>0.0</v>
      </c>
      <c r="L47" s="141">
        <v>17.0</v>
      </c>
      <c r="M47" s="281" t="s">
        <v>125</v>
      </c>
      <c r="N47" s="281">
        <v>14.0</v>
      </c>
      <c r="O47" s="281">
        <v>4.0</v>
      </c>
      <c r="P47" s="281">
        <f t="shared" si="9"/>
        <v>10</v>
      </c>
      <c r="Q47" s="281">
        <v>10.0</v>
      </c>
      <c r="R47" s="281">
        <v>4.0</v>
      </c>
      <c r="S47" s="281">
        <v>0.0</v>
      </c>
    </row>
    <row r="48" ht="15.75" customHeight="1">
      <c r="B48" s="324"/>
      <c r="C48" s="324"/>
      <c r="D48" s="281" t="s">
        <v>63</v>
      </c>
      <c r="E48" s="281">
        <v>2.0</v>
      </c>
      <c r="F48" s="281">
        <v>2.0</v>
      </c>
      <c r="G48" s="281">
        <v>0.0</v>
      </c>
      <c r="H48" s="281">
        <v>2.0</v>
      </c>
      <c r="I48" s="281">
        <v>0.0</v>
      </c>
      <c r="J48" s="281">
        <v>0.0</v>
      </c>
      <c r="L48" s="141">
        <v>5.0</v>
      </c>
      <c r="M48" s="281" t="s">
        <v>63</v>
      </c>
      <c r="N48" s="281">
        <v>3.0</v>
      </c>
      <c r="O48" s="281">
        <v>1.0</v>
      </c>
      <c r="P48" s="281">
        <f t="shared" si="9"/>
        <v>2</v>
      </c>
      <c r="Q48" s="281">
        <v>2.0</v>
      </c>
      <c r="R48" s="281">
        <v>1.0</v>
      </c>
      <c r="S48" s="281">
        <v>0.0</v>
      </c>
    </row>
    <row r="49" ht="15.75" customHeight="1">
      <c r="B49" s="324"/>
      <c r="C49" s="324"/>
      <c r="D49" s="281" t="s">
        <v>914</v>
      </c>
      <c r="E49" s="281">
        <v>42.0</v>
      </c>
      <c r="F49" s="281">
        <v>38.0</v>
      </c>
      <c r="G49" s="281">
        <v>4.0</v>
      </c>
      <c r="H49" s="281">
        <v>40.0</v>
      </c>
      <c r="I49" s="281">
        <v>2.0</v>
      </c>
      <c r="J49" s="281">
        <v>0.0</v>
      </c>
      <c r="L49" s="141">
        <v>90.0</v>
      </c>
      <c r="M49" s="281" t="s">
        <v>914</v>
      </c>
      <c r="N49" s="281">
        <v>48.0</v>
      </c>
      <c r="O49" s="281">
        <v>6.0</v>
      </c>
      <c r="P49" s="281">
        <f t="shared" si="9"/>
        <v>42</v>
      </c>
      <c r="Q49" s="281">
        <v>39.0</v>
      </c>
      <c r="R49" s="281">
        <v>8.0</v>
      </c>
      <c r="S49" s="281">
        <v>1.0</v>
      </c>
    </row>
    <row r="50" ht="15.75" customHeight="1">
      <c r="B50" s="324"/>
      <c r="C50" s="324"/>
      <c r="D50" s="324"/>
      <c r="E50" s="324"/>
      <c r="F50" s="324"/>
      <c r="G50" s="324"/>
      <c r="H50" s="324"/>
      <c r="I50" s="324"/>
      <c r="J50" s="324"/>
      <c r="M50" s="281"/>
      <c r="N50" s="281"/>
      <c r="O50" s="281"/>
      <c r="P50" s="281"/>
      <c r="Q50" s="281"/>
      <c r="R50" s="281"/>
      <c r="S50" s="281"/>
    </row>
    <row r="51" ht="15.75" customHeight="1">
      <c r="B51" s="324"/>
      <c r="C51" s="324"/>
      <c r="D51" s="324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AG61" s="141" t="s">
        <v>27</v>
      </c>
      <c r="AI61" s="141" t="s">
        <v>125</v>
      </c>
      <c r="AK61" s="141" t="s">
        <v>63</v>
      </c>
      <c r="AM61" s="141" t="s">
        <v>914</v>
      </c>
    </row>
    <row r="62" ht="15.75" customHeight="1">
      <c r="AE62" s="326" t="s">
        <v>799</v>
      </c>
      <c r="AG62" s="327">
        <v>93.0</v>
      </c>
      <c r="AI62" s="328">
        <v>76.0</v>
      </c>
      <c r="AJ62" s="329"/>
      <c r="AK62" s="327">
        <v>80.0</v>
      </c>
      <c r="AL62" s="329"/>
      <c r="AM62" s="327">
        <v>90.0</v>
      </c>
    </row>
    <row r="63" ht="15.75" customHeight="1">
      <c r="AI63" s="329"/>
      <c r="AJ63" s="329"/>
      <c r="AK63" s="329"/>
      <c r="AL63" s="329"/>
      <c r="AM63" s="329"/>
    </row>
    <row r="64" ht="15.75" customHeight="1">
      <c r="AE64" s="330" t="s">
        <v>800</v>
      </c>
      <c r="AG64" s="331">
        <v>96.0</v>
      </c>
      <c r="AI64" s="328">
        <v>100.0</v>
      </c>
      <c r="AJ64" s="329"/>
      <c r="AK64" s="327">
        <v>100.0</v>
      </c>
      <c r="AL64" s="329"/>
      <c r="AM64" s="327">
        <v>91.0</v>
      </c>
    </row>
    <row r="65" ht="15.75" customHeight="1">
      <c r="AI65" s="329"/>
      <c r="AJ65" s="329"/>
      <c r="AK65" s="329"/>
      <c r="AL65" s="329"/>
      <c r="AM65" s="329"/>
    </row>
    <row r="66" ht="15.75" customHeight="1">
      <c r="AE66" s="330" t="s">
        <v>806</v>
      </c>
      <c r="AG66" s="331">
        <v>4.0</v>
      </c>
      <c r="AI66" s="327">
        <v>0.0</v>
      </c>
      <c r="AJ66" s="329"/>
      <c r="AK66" s="327">
        <v>0.0</v>
      </c>
      <c r="AL66" s="329"/>
      <c r="AM66" s="327">
        <v>7.0</v>
      </c>
    </row>
    <row r="67" ht="15.75" customHeight="1">
      <c r="AI67" s="329"/>
      <c r="AJ67" s="329"/>
      <c r="AK67" s="329"/>
      <c r="AL67" s="329"/>
      <c r="AM67" s="329"/>
    </row>
    <row r="68" ht="15.75" customHeight="1">
      <c r="AE68" s="330" t="s">
        <v>807</v>
      </c>
      <c r="AG68" s="331">
        <v>0.0</v>
      </c>
      <c r="AI68" s="327">
        <v>0.0</v>
      </c>
      <c r="AJ68" s="329"/>
      <c r="AK68" s="327">
        <v>0.0</v>
      </c>
      <c r="AL68" s="329"/>
      <c r="AM68" s="327">
        <v>1.0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Z1"/>
    <mergeCell ref="A2:Z2"/>
    <mergeCell ref="A3:Z3"/>
    <mergeCell ref="A4:Z4"/>
    <mergeCell ref="A5:Z5"/>
    <mergeCell ref="A6:Z6"/>
    <mergeCell ref="A8:Z8"/>
    <mergeCell ref="F29:G29"/>
    <mergeCell ref="H29:I29"/>
    <mergeCell ref="A39:B39"/>
    <mergeCell ref="J29:K29"/>
    <mergeCell ref="L29:M29"/>
    <mergeCell ref="N29:O29"/>
    <mergeCell ref="P29:Q29"/>
    <mergeCell ref="R29:S29"/>
    <mergeCell ref="T29:U29"/>
    <mergeCell ref="V29:W29"/>
    <mergeCell ref="X29:Y29"/>
    <mergeCell ref="A9:Z9"/>
    <mergeCell ref="B28:G28"/>
    <mergeCell ref="H28:M28"/>
    <mergeCell ref="N28:S28"/>
    <mergeCell ref="T28:Y28"/>
    <mergeCell ref="B29:C29"/>
    <mergeCell ref="D29:E29"/>
  </mergeCells>
  <printOptions/>
  <pageMargins bottom="0.7480314960629921" footer="0.0" header="0.0" left="0.31496062992125984" right="0.7086614173228347" top="0.7480314960629921"/>
  <pageSetup scale="7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5.75"/>
    <col customWidth="1" min="3" max="10" width="8.63"/>
    <col customWidth="1" min="11" max="11" width="12.0"/>
    <col customWidth="1" min="12" max="12" width="8.75"/>
    <col customWidth="1" min="13" max="13" width="7.13"/>
    <col customWidth="1" min="14" max="14" width="29.38"/>
    <col customWidth="1" min="15" max="15" width="8.0"/>
    <col customWidth="1" min="16" max="16" width="7.25"/>
    <col customWidth="1" min="17" max="17" width="9.13"/>
    <col customWidth="1" min="18" max="21" width="8.63"/>
  </cols>
  <sheetData>
    <row r="1" ht="15.0" customHeight="1">
      <c r="A1" s="1" t="s">
        <v>0</v>
      </c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K2" s="4"/>
      <c r="L2" s="4"/>
      <c r="M2" s="4"/>
      <c r="N2" s="4"/>
      <c r="O2" s="4"/>
    </row>
    <row r="3" ht="18.75" customHeight="1">
      <c r="A3" s="5" t="s">
        <v>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5.0" customHeight="1">
      <c r="A4" s="1" t="s">
        <v>3</v>
      </c>
      <c r="K4" s="2"/>
      <c r="L4" s="2"/>
      <c r="M4" s="2"/>
      <c r="N4" s="2"/>
      <c r="O4" s="2"/>
      <c r="P4" s="2"/>
      <c r="Q4" s="2"/>
      <c r="R4" s="2"/>
      <c r="S4" s="2"/>
    </row>
    <row r="5" ht="15.0" customHeight="1">
      <c r="A5" s="1" t="s">
        <v>4</v>
      </c>
      <c r="K5" s="2"/>
      <c r="L5" s="2"/>
      <c r="M5" s="2"/>
      <c r="N5" s="2"/>
      <c r="O5" s="2"/>
      <c r="P5" s="2"/>
      <c r="Q5" s="2"/>
      <c r="R5" s="2"/>
      <c r="S5" s="2"/>
    </row>
    <row r="6" ht="15.0" customHeight="1">
      <c r="A6" s="7" t="s">
        <v>5</v>
      </c>
      <c r="M6" s="8"/>
      <c r="N6" s="8"/>
      <c r="O6" s="8"/>
      <c r="P6" s="8"/>
      <c r="Q6" s="8"/>
      <c r="R6" s="8"/>
      <c r="S6" s="8"/>
    </row>
    <row r="8">
      <c r="A8" s="9" t="s">
        <v>926</v>
      </c>
      <c r="K8" s="10"/>
      <c r="L8" s="10"/>
      <c r="M8" s="10"/>
      <c r="N8" s="10"/>
      <c r="O8" s="10"/>
      <c r="P8" s="10"/>
      <c r="Q8" s="10"/>
    </row>
    <row r="9">
      <c r="A9" s="24" t="s">
        <v>927</v>
      </c>
      <c r="K9" s="101"/>
      <c r="L9" s="101"/>
      <c r="M9" s="101"/>
      <c r="N9" s="102"/>
      <c r="O9" s="102"/>
    </row>
    <row r="10">
      <c r="K10" s="101"/>
      <c r="L10" s="101"/>
      <c r="M10" s="101"/>
      <c r="N10" s="102"/>
      <c r="O10" s="102"/>
    </row>
    <row r="11" ht="19.5" customHeight="1">
      <c r="L11" s="101"/>
      <c r="M11" s="101"/>
      <c r="N11" s="102"/>
      <c r="O11" s="102"/>
    </row>
    <row r="16">
      <c r="L16" s="149"/>
      <c r="M16" s="149"/>
      <c r="N16" s="149"/>
      <c r="O16" s="149"/>
      <c r="P16" s="149"/>
      <c r="Q16" s="149"/>
      <c r="R16" s="151"/>
    </row>
    <row r="17" ht="15.75" customHeight="1">
      <c r="K17" s="149"/>
      <c r="L17" s="150"/>
      <c r="M17" s="150"/>
      <c r="N17" s="150"/>
      <c r="O17" s="150"/>
      <c r="P17" s="150"/>
      <c r="Q17" s="150"/>
      <c r="R17" s="151"/>
    </row>
    <row r="18" ht="15.75" customHeight="1">
      <c r="K18" s="153"/>
      <c r="L18" s="153"/>
      <c r="M18" s="153"/>
      <c r="N18" s="153"/>
      <c r="O18" s="153"/>
      <c r="P18" s="153"/>
      <c r="Q18" s="153"/>
      <c r="R18" s="151"/>
    </row>
    <row r="19" ht="15.75" customHeight="1">
      <c r="K19" s="153"/>
      <c r="L19" s="153"/>
      <c r="M19" s="153"/>
      <c r="N19" s="153"/>
      <c r="O19" s="153"/>
      <c r="P19" s="153"/>
      <c r="Q19" s="153"/>
      <c r="R19" s="151"/>
    </row>
    <row r="20" ht="15.75" customHeight="1">
      <c r="K20" s="153"/>
      <c r="L20" s="153"/>
      <c r="M20" s="153"/>
      <c r="N20" s="153"/>
      <c r="O20" s="153"/>
      <c r="P20" s="153"/>
      <c r="Q20" s="153"/>
      <c r="R20" s="151"/>
    </row>
    <row r="21" ht="15.75" customHeight="1">
      <c r="K21" s="153"/>
      <c r="L21" s="153"/>
      <c r="M21" s="153"/>
      <c r="N21" s="153"/>
      <c r="O21" s="153"/>
      <c r="P21" s="153"/>
      <c r="Q21" s="153"/>
      <c r="R21" s="151"/>
    </row>
    <row r="22" ht="15.75" customHeight="1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</row>
    <row r="23" ht="15.75" customHeight="1"/>
    <row r="24" ht="15.75" customHeight="1">
      <c r="J24" s="101"/>
      <c r="N24" s="159"/>
      <c r="O24" s="130"/>
      <c r="P24" s="128"/>
      <c r="Q24" s="130"/>
      <c r="R24" s="128"/>
      <c r="S24" s="130"/>
      <c r="T24" s="128"/>
    </row>
    <row r="25" ht="15.75" customHeight="1">
      <c r="B25" s="130" t="s">
        <v>9</v>
      </c>
      <c r="C25" s="332" t="s">
        <v>43</v>
      </c>
      <c r="D25" s="106"/>
      <c r="E25" s="332" t="s">
        <v>928</v>
      </c>
      <c r="F25" s="106"/>
      <c r="G25" s="333" t="s">
        <v>929</v>
      </c>
      <c r="H25" s="334"/>
      <c r="I25" s="335"/>
    </row>
    <row r="26" ht="15.75" customHeight="1">
      <c r="B26" s="336" t="s">
        <v>805</v>
      </c>
      <c r="C26" s="337">
        <v>105.0</v>
      </c>
      <c r="D26" s="106"/>
      <c r="E26" s="337">
        <v>53.0</v>
      </c>
      <c r="F26" s="106"/>
      <c r="G26" s="338">
        <v>46.0</v>
      </c>
      <c r="H26" s="339"/>
      <c r="I26" s="340"/>
    </row>
    <row r="27" ht="15.75" customHeight="1">
      <c r="B27" s="341" t="s">
        <v>799</v>
      </c>
      <c r="C27" s="342">
        <v>94.0</v>
      </c>
      <c r="D27" s="343">
        <f t="shared" ref="D27:D30" si="1">C27/C26</f>
        <v>0.8952380952</v>
      </c>
      <c r="E27" s="342">
        <v>52.0</v>
      </c>
      <c r="F27" s="343">
        <v>1.0</v>
      </c>
      <c r="G27" s="342">
        <v>38.0</v>
      </c>
      <c r="H27" s="343">
        <v>1.0</v>
      </c>
      <c r="I27" s="153"/>
      <c r="J27" s="344"/>
    </row>
    <row r="28" ht="15.75" customHeight="1">
      <c r="B28" s="336" t="s">
        <v>800</v>
      </c>
      <c r="C28" s="345">
        <v>93.0</v>
      </c>
      <c r="D28" s="343">
        <f t="shared" si="1"/>
        <v>0.9893617021</v>
      </c>
      <c r="E28" s="345">
        <v>51.0</v>
      </c>
      <c r="F28" s="343">
        <f t="shared" ref="F28:F29" si="2">E28/E27</f>
        <v>0.9807692308</v>
      </c>
      <c r="G28" s="345">
        <v>30.0</v>
      </c>
      <c r="H28" s="343">
        <f>G28/G27</f>
        <v>0.7894736842</v>
      </c>
      <c r="I28" s="193"/>
      <c r="J28" s="344"/>
    </row>
    <row r="29" ht="15.75" customHeight="1">
      <c r="B29" s="336" t="s">
        <v>806</v>
      </c>
      <c r="C29" s="345">
        <v>1.0</v>
      </c>
      <c r="D29" s="343">
        <f t="shared" si="1"/>
        <v>0.01075268817</v>
      </c>
      <c r="E29" s="345">
        <v>1.0</v>
      </c>
      <c r="F29" s="343">
        <f t="shared" si="2"/>
        <v>0.01960784314</v>
      </c>
      <c r="G29" s="345">
        <v>7.0</v>
      </c>
      <c r="H29" s="343">
        <f>G29/G27</f>
        <v>0.1842105263</v>
      </c>
      <c r="I29" s="193"/>
      <c r="J29" s="344"/>
      <c r="P29" s="141" t="s">
        <v>43</v>
      </c>
      <c r="R29" s="141" t="s">
        <v>928</v>
      </c>
      <c r="T29" s="141" t="s">
        <v>929</v>
      </c>
    </row>
    <row r="30" ht="15.75" customHeight="1">
      <c r="A30" s="134"/>
      <c r="B30" s="336" t="s">
        <v>807</v>
      </c>
      <c r="C30" s="345">
        <v>0.0</v>
      </c>
      <c r="D30" s="343">
        <f t="shared" si="1"/>
        <v>0</v>
      </c>
      <c r="E30" s="345">
        <v>0.0</v>
      </c>
      <c r="F30" s="343">
        <f>E30/E28</f>
        <v>0</v>
      </c>
      <c r="G30" s="345">
        <v>1.0</v>
      </c>
      <c r="H30" s="343">
        <f>G30/G27</f>
        <v>0.02631578947</v>
      </c>
      <c r="I30" s="193"/>
      <c r="J30" s="344"/>
    </row>
    <row r="31" ht="15.75" customHeight="1">
      <c r="B31" s="180"/>
      <c r="C31" s="180"/>
      <c r="D31" s="134"/>
      <c r="E31" s="134"/>
      <c r="F31" s="134"/>
      <c r="G31" s="134"/>
      <c r="H31" s="134"/>
      <c r="I31" s="134"/>
      <c r="J31" s="134"/>
      <c r="N31" s="155" t="s">
        <v>799</v>
      </c>
      <c r="O31" s="342"/>
      <c r="P31" s="346">
        <v>94.0</v>
      </c>
      <c r="Q31" s="347"/>
      <c r="R31" s="346">
        <v>52.0</v>
      </c>
      <c r="S31" s="347"/>
      <c r="T31" s="346">
        <v>38.0</v>
      </c>
    </row>
    <row r="32" ht="15.75" customHeight="1">
      <c r="A32" s="152"/>
      <c r="B32" s="152"/>
      <c r="C32" s="152"/>
      <c r="D32" s="152"/>
      <c r="E32" s="152"/>
      <c r="F32" s="201"/>
      <c r="G32" s="201"/>
      <c r="H32" s="152"/>
      <c r="I32" s="152"/>
      <c r="J32" s="201"/>
      <c r="P32" s="348"/>
      <c r="Q32" s="348"/>
      <c r="R32" s="348"/>
      <c r="S32" s="348"/>
      <c r="T32" s="348"/>
    </row>
    <row r="33" ht="15.75" customHeight="1">
      <c r="A33" s="152"/>
      <c r="B33" s="152"/>
      <c r="C33" s="152"/>
      <c r="D33" s="152"/>
      <c r="E33" s="152"/>
      <c r="F33" s="201"/>
      <c r="G33" s="201"/>
      <c r="H33" s="152"/>
      <c r="I33" s="152"/>
      <c r="J33" s="201"/>
      <c r="N33" s="158" t="s">
        <v>800</v>
      </c>
      <c r="O33" s="345"/>
      <c r="P33" s="346">
        <v>93.0</v>
      </c>
      <c r="Q33" s="349"/>
      <c r="R33" s="346">
        <v>51.0</v>
      </c>
      <c r="S33" s="349"/>
      <c r="T33" s="346">
        <v>30.0</v>
      </c>
    </row>
    <row r="34" ht="15.75" customHeight="1">
      <c r="A34" s="152"/>
      <c r="B34" s="152"/>
      <c r="C34" s="152"/>
      <c r="D34" s="152"/>
      <c r="E34" s="152"/>
      <c r="F34" s="201"/>
      <c r="G34" s="201"/>
      <c r="H34" s="152"/>
      <c r="I34" s="152"/>
      <c r="J34" s="201"/>
      <c r="P34" s="348"/>
      <c r="Q34" s="348"/>
      <c r="R34" s="348"/>
      <c r="S34" s="348"/>
      <c r="T34" s="348"/>
    </row>
    <row r="35" ht="15.75" customHeight="1">
      <c r="A35" s="152"/>
      <c r="B35" s="99" t="s">
        <v>684</v>
      </c>
      <c r="C35" s="100"/>
      <c r="D35" s="114"/>
      <c r="E35" s="21" t="s">
        <v>685</v>
      </c>
      <c r="G35" s="21"/>
      <c r="H35" s="114"/>
      <c r="I35" s="22" t="s">
        <v>686</v>
      </c>
      <c r="N35" s="158" t="s">
        <v>806</v>
      </c>
      <c r="O35" s="345"/>
      <c r="P35" s="346">
        <v>1.0</v>
      </c>
      <c r="Q35" s="349"/>
      <c r="R35" s="346">
        <v>1.0</v>
      </c>
      <c r="S35" s="349"/>
      <c r="T35" s="346">
        <v>7.0</v>
      </c>
    </row>
    <row r="36" ht="15.75" customHeight="1">
      <c r="P36" s="348"/>
      <c r="Q36" s="348"/>
      <c r="R36" s="348"/>
      <c r="S36" s="348"/>
      <c r="T36" s="348"/>
    </row>
    <row r="37" ht="15.75" customHeight="1">
      <c r="N37" s="158" t="s">
        <v>807</v>
      </c>
      <c r="O37" s="345"/>
      <c r="P37" s="346">
        <v>0.0</v>
      </c>
      <c r="Q37" s="349"/>
      <c r="R37" s="346">
        <v>0.0</v>
      </c>
      <c r="S37" s="349"/>
      <c r="T37" s="346">
        <v>1.0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J1"/>
    <mergeCell ref="A2:J2"/>
    <mergeCell ref="A3:J3"/>
    <mergeCell ref="A4:J4"/>
    <mergeCell ref="A5:J5"/>
    <mergeCell ref="A6:J6"/>
    <mergeCell ref="A8:J8"/>
    <mergeCell ref="C25:D25"/>
    <mergeCell ref="C26:D26"/>
    <mergeCell ref="E26:F26"/>
    <mergeCell ref="G26:H26"/>
    <mergeCell ref="I26:J26"/>
    <mergeCell ref="A30:A31"/>
    <mergeCell ref="E35:F35"/>
    <mergeCell ref="A9:J9"/>
    <mergeCell ref="O24:P24"/>
    <mergeCell ref="Q24:R24"/>
    <mergeCell ref="S24:T24"/>
    <mergeCell ref="E25:F25"/>
    <mergeCell ref="G25:H25"/>
    <mergeCell ref="I25:J25"/>
  </mergeCells>
  <printOptions/>
  <pageMargins bottom="0.7480314960629921" footer="0.0" header="0.0" left="1.8897637795275593" right="1.8897637795275593" top="0.7480314960629921"/>
  <pageSetup orientation="landscape"/>
  <rowBreaks count="1" manualBreakCount="1">
    <brk id="35" man="1"/>
  </rowBreaks>
  <colBreaks count="1" manualBreakCount="1">
    <brk id="10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4.88"/>
    <col customWidth="1" min="3" max="3" width="18.0"/>
    <col customWidth="1" min="4" max="4" width="13.0"/>
    <col customWidth="1" min="5" max="5" width="11.0"/>
    <col customWidth="1" min="6" max="6" width="12.25"/>
    <col customWidth="1" min="7" max="7" width="12.88"/>
    <col customWidth="1" min="8" max="8" width="9.75"/>
    <col customWidth="1" min="9" max="9" width="10.75"/>
    <col customWidth="1" min="10" max="10" width="12.13"/>
    <col customWidth="1" min="11" max="11" width="12.0"/>
    <col customWidth="1" min="12" max="12" width="8.75"/>
    <col customWidth="1" min="13" max="13" width="7.13"/>
    <col customWidth="1" min="14" max="14" width="7.88"/>
    <col customWidth="1" min="15" max="15" width="8.0"/>
    <col customWidth="1" min="16" max="16" width="7.25"/>
    <col customWidth="1" min="17" max="17" width="9.13"/>
    <col customWidth="1" min="18" max="21" width="8.63"/>
  </cols>
  <sheetData>
    <row r="1" ht="15.0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H2" s="4"/>
      <c r="I2" s="4"/>
      <c r="J2" s="4"/>
      <c r="K2" s="4"/>
      <c r="L2" s="4"/>
      <c r="M2" s="4"/>
      <c r="N2" s="4"/>
      <c r="O2" s="4"/>
    </row>
    <row r="3" ht="18.75" customHeight="1">
      <c r="A3" s="5" t="s">
        <v>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5.0" customHeight="1">
      <c r="A4" s="1" t="s">
        <v>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15.0" customHeight="1">
      <c r="A5" s="1" t="s">
        <v>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5.0" customHeight="1">
      <c r="A6" s="7" t="s">
        <v>687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8">
      <c r="A8" s="9" t="s">
        <v>930</v>
      </c>
      <c r="H8" s="10"/>
      <c r="I8" s="10"/>
      <c r="J8" s="10"/>
      <c r="K8" s="10"/>
      <c r="L8" s="10"/>
      <c r="M8" s="10"/>
      <c r="N8" s="10"/>
      <c r="O8" s="10"/>
      <c r="P8" s="10"/>
      <c r="Q8" s="10"/>
    </row>
    <row r="9">
      <c r="A9" s="101"/>
      <c r="B9" s="101" t="s">
        <v>931</v>
      </c>
      <c r="C9" s="24" t="s">
        <v>932</v>
      </c>
      <c r="E9" s="101"/>
      <c r="F9" s="24" t="s">
        <v>933</v>
      </c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01"/>
      <c r="B10" s="101" t="s">
        <v>934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2"/>
      <c r="O10" s="102"/>
    </row>
    <row r="11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2"/>
      <c r="O11" s="102"/>
    </row>
    <row r="12" ht="47.25" customHeight="1">
      <c r="A12" s="101"/>
      <c r="B12" s="214" t="s">
        <v>935</v>
      </c>
      <c r="C12" s="350" t="s">
        <v>936</v>
      </c>
      <c r="D12" s="351" t="s">
        <v>937</v>
      </c>
      <c r="E12" s="351" t="s">
        <v>938</v>
      </c>
      <c r="F12" s="351" t="s">
        <v>939</v>
      </c>
      <c r="G12" s="351" t="s">
        <v>940</v>
      </c>
      <c r="H12" s="101"/>
      <c r="I12" s="101"/>
      <c r="J12" s="101"/>
      <c r="K12" s="101"/>
      <c r="L12" s="101"/>
      <c r="M12" s="101"/>
      <c r="N12" s="102"/>
      <c r="O12" s="102"/>
    </row>
    <row r="13">
      <c r="A13" s="101"/>
      <c r="B13" s="108"/>
      <c r="C13" s="108"/>
      <c r="D13" s="351">
        <v>189.0</v>
      </c>
      <c r="E13" s="351" t="s">
        <v>941</v>
      </c>
      <c r="F13" s="351"/>
      <c r="G13" s="351"/>
      <c r="H13" s="101"/>
      <c r="I13" s="101"/>
      <c r="J13" s="101"/>
      <c r="K13" s="101"/>
      <c r="L13" s="101"/>
      <c r="M13" s="101"/>
      <c r="N13" s="102"/>
      <c r="O13" s="102"/>
    </row>
    <row r="14">
      <c r="A14" s="101"/>
      <c r="B14" s="352" t="s">
        <v>942</v>
      </c>
      <c r="C14" s="353"/>
      <c r="D14" s="354">
        <v>141.0</v>
      </c>
      <c r="E14" s="354">
        <v>174.0</v>
      </c>
      <c r="F14" s="259"/>
      <c r="G14" s="259"/>
      <c r="H14" s="101"/>
      <c r="I14" s="101"/>
      <c r="J14" s="101"/>
      <c r="K14" s="101"/>
      <c r="L14" s="101"/>
      <c r="M14" s="101"/>
      <c r="N14" s="102"/>
      <c r="O14" s="102"/>
    </row>
    <row r="15">
      <c r="A15" s="101"/>
      <c r="B15" s="352" t="s">
        <v>943</v>
      </c>
      <c r="C15" s="259"/>
      <c r="D15" s="354">
        <v>184.0</v>
      </c>
      <c r="E15" s="354">
        <v>203.0</v>
      </c>
      <c r="F15" s="259"/>
      <c r="G15" s="259"/>
      <c r="H15" s="101"/>
      <c r="I15" s="101"/>
      <c r="J15" s="101"/>
      <c r="K15" s="101"/>
      <c r="L15" s="101"/>
      <c r="M15" s="101"/>
      <c r="N15" s="102"/>
      <c r="O15" s="102"/>
    </row>
    <row r="16">
      <c r="A16" s="101"/>
      <c r="B16" s="352" t="s">
        <v>944</v>
      </c>
      <c r="C16" s="259"/>
      <c r="D16" s="354">
        <v>74.6</v>
      </c>
      <c r="E16" s="354">
        <v>85.29</v>
      </c>
      <c r="F16" s="259"/>
      <c r="G16" s="259"/>
      <c r="H16" s="101"/>
      <c r="I16" s="101"/>
      <c r="J16" s="101"/>
      <c r="K16" s="101"/>
      <c r="L16" s="101"/>
      <c r="M16" s="101"/>
      <c r="N16" s="102"/>
      <c r="O16" s="102"/>
    </row>
    <row r="17">
      <c r="A17" s="101"/>
      <c r="B17" s="352" t="s">
        <v>945</v>
      </c>
      <c r="C17" s="259"/>
      <c r="D17" s="354">
        <v>97.35</v>
      </c>
      <c r="E17" s="354">
        <v>100.0</v>
      </c>
      <c r="F17" s="259"/>
      <c r="G17" s="259"/>
      <c r="H17" s="101"/>
      <c r="I17" s="101"/>
      <c r="J17" s="101"/>
      <c r="K17" s="101"/>
      <c r="L17" s="101"/>
      <c r="M17" s="101"/>
      <c r="N17" s="102"/>
      <c r="O17" s="102"/>
    </row>
    <row r="18">
      <c r="B18" s="352" t="s">
        <v>946</v>
      </c>
      <c r="C18" s="259"/>
      <c r="D18" s="354">
        <v>8.15</v>
      </c>
      <c r="E18" s="354">
        <v>8.25</v>
      </c>
      <c r="F18" s="259"/>
      <c r="G18" s="259"/>
      <c r="J18" s="101"/>
      <c r="K18" s="101"/>
      <c r="L18" s="101"/>
      <c r="M18" s="101"/>
      <c r="N18" s="102"/>
      <c r="O18" s="102"/>
    </row>
    <row r="19" ht="32.25" customHeight="1">
      <c r="B19" s="149"/>
      <c r="C19" s="149"/>
      <c r="E19" s="149"/>
      <c r="G19" s="149"/>
      <c r="I19" s="149"/>
      <c r="L19" s="101"/>
      <c r="M19" s="101"/>
      <c r="N19" s="102"/>
      <c r="O19" s="102"/>
    </row>
    <row r="20" ht="32.25" customHeight="1">
      <c r="B20" s="149"/>
    </row>
    <row r="21" ht="15.0" customHeight="1">
      <c r="B21" s="99" t="s">
        <v>684</v>
      </c>
      <c r="C21" s="21" t="s">
        <v>685</v>
      </c>
      <c r="E21" s="21"/>
      <c r="F21" s="21"/>
      <c r="G21" s="22" t="s">
        <v>686</v>
      </c>
      <c r="H21" s="114"/>
      <c r="K21" s="153"/>
    </row>
    <row r="22" ht="21.0" customHeight="1">
      <c r="A22" s="151"/>
      <c r="B22" s="183"/>
      <c r="C22" s="227"/>
      <c r="E22" s="227"/>
      <c r="F22" s="227"/>
      <c r="G22" s="56"/>
      <c r="H22" s="152"/>
      <c r="K22" s="153"/>
    </row>
    <row r="23" ht="18.0" customHeight="1">
      <c r="A23" s="183"/>
      <c r="B23" s="355" t="s">
        <v>947</v>
      </c>
      <c r="C23" s="192"/>
      <c r="D23" s="193"/>
      <c r="E23" s="193"/>
      <c r="F23" s="193"/>
      <c r="G23" s="193"/>
      <c r="H23" s="193"/>
      <c r="J23" s="193"/>
    </row>
    <row r="24" ht="21.75" customHeight="1">
      <c r="A24" s="183"/>
      <c r="B24" s="356" t="s">
        <v>948</v>
      </c>
      <c r="E24" s="193"/>
      <c r="F24" s="193"/>
      <c r="G24" s="193"/>
      <c r="H24" s="193"/>
      <c r="I24" s="193"/>
      <c r="J24" s="193"/>
    </row>
    <row r="25" ht="21.75" customHeight="1">
      <c r="A25" s="134"/>
      <c r="B25" s="356" t="s">
        <v>949</v>
      </c>
      <c r="E25" s="193"/>
      <c r="F25" s="193"/>
      <c r="G25" s="193"/>
      <c r="H25" s="193"/>
      <c r="I25" s="193"/>
      <c r="J25" s="193"/>
      <c r="L25" s="149"/>
      <c r="M25" s="149"/>
      <c r="N25" s="149"/>
      <c r="O25" s="149"/>
      <c r="P25" s="149"/>
      <c r="Q25" s="149"/>
      <c r="R25" s="151"/>
    </row>
    <row r="26" ht="21.75" customHeight="1">
      <c r="B26" s="356" t="s">
        <v>950</v>
      </c>
      <c r="E26" s="134"/>
      <c r="F26" s="134"/>
      <c r="G26" s="134"/>
      <c r="H26" s="134"/>
      <c r="I26" s="134"/>
      <c r="J26" s="134"/>
      <c r="K26" s="149"/>
      <c r="L26" s="150"/>
      <c r="M26" s="150"/>
      <c r="N26" s="150"/>
      <c r="O26" s="150"/>
      <c r="P26" s="150"/>
      <c r="Q26" s="150"/>
      <c r="R26" s="151"/>
    </row>
    <row r="27" ht="36.0" customHeight="1">
      <c r="A27" s="152"/>
      <c r="B27" s="357" t="s">
        <v>951</v>
      </c>
      <c r="H27" s="152"/>
      <c r="I27" s="152"/>
      <c r="J27" s="201"/>
      <c r="K27" s="153"/>
      <c r="L27" s="153"/>
      <c r="M27" s="153"/>
      <c r="N27" s="153"/>
      <c r="O27" s="153"/>
      <c r="P27" s="153"/>
      <c r="Q27" s="153"/>
      <c r="R27" s="151"/>
    </row>
    <row r="28" ht="15.75" customHeight="1">
      <c r="A28" s="152"/>
      <c r="B28" s="358" t="s">
        <v>952</v>
      </c>
      <c r="H28" s="152"/>
      <c r="I28" s="152"/>
      <c r="J28" s="201"/>
      <c r="K28" s="153"/>
      <c r="L28" s="153"/>
      <c r="M28" s="153"/>
      <c r="N28" s="153"/>
      <c r="O28" s="153"/>
      <c r="P28" s="153"/>
      <c r="Q28" s="153"/>
      <c r="R28" s="151"/>
    </row>
    <row r="29" ht="15.75" customHeight="1">
      <c r="A29" s="152"/>
      <c r="B29" s="356" t="s">
        <v>953</v>
      </c>
      <c r="H29" s="152"/>
      <c r="I29" s="152"/>
      <c r="J29" s="201"/>
      <c r="K29" s="153"/>
      <c r="L29" s="153"/>
      <c r="M29" s="153"/>
      <c r="N29" s="153"/>
      <c r="O29" s="153"/>
      <c r="P29" s="153"/>
      <c r="Q29" s="153"/>
      <c r="R29" s="151"/>
    </row>
    <row r="30" ht="15.75" customHeight="1">
      <c r="A30" s="152"/>
      <c r="B30" s="23" t="s">
        <v>954</v>
      </c>
      <c r="K30" s="153"/>
      <c r="L30" s="153"/>
      <c r="M30" s="153"/>
      <c r="N30" s="153"/>
      <c r="O30" s="153"/>
      <c r="P30" s="153"/>
      <c r="Q30" s="153"/>
      <c r="R30" s="151"/>
    </row>
    <row r="31" ht="15.75" customHeight="1">
      <c r="A31" s="152"/>
      <c r="B31" s="359" t="s">
        <v>955</v>
      </c>
      <c r="K31" s="153"/>
      <c r="L31" s="153"/>
      <c r="M31" s="153"/>
      <c r="N31" s="153"/>
      <c r="O31" s="153"/>
      <c r="P31" s="153"/>
      <c r="Q31" s="153"/>
      <c r="R31" s="151"/>
    </row>
    <row r="32" ht="15.75" customHeight="1">
      <c r="A32" s="152"/>
      <c r="D32" s="152"/>
      <c r="E32" s="152"/>
      <c r="F32" s="196"/>
      <c r="G32" s="196"/>
      <c r="H32" s="152"/>
      <c r="I32" s="152"/>
      <c r="J32" s="196"/>
      <c r="K32" s="153"/>
      <c r="L32" s="153"/>
      <c r="M32" s="153"/>
      <c r="N32" s="153"/>
      <c r="O32" s="153"/>
      <c r="P32" s="153"/>
      <c r="Q32" s="153"/>
      <c r="R32" s="151"/>
    </row>
    <row r="3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</row>
    <row r="34" ht="15.75" customHeight="1"/>
    <row r="35" ht="15.75" customHeight="1"/>
    <row r="36" ht="15.75" customHeight="1"/>
    <row r="37" ht="15.75" customHeight="1"/>
    <row r="38" ht="20.25" customHeight="1">
      <c r="D38" s="228"/>
      <c r="E38" s="228"/>
      <c r="H38" s="228"/>
      <c r="I38" s="22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G1"/>
    <mergeCell ref="A2:G2"/>
    <mergeCell ref="A3:G3"/>
    <mergeCell ref="A4:G4"/>
    <mergeCell ref="A5:G5"/>
    <mergeCell ref="A6:G6"/>
    <mergeCell ref="A8:G8"/>
    <mergeCell ref="C9:D9"/>
    <mergeCell ref="F9:G9"/>
    <mergeCell ref="B12:B13"/>
    <mergeCell ref="C12:C13"/>
    <mergeCell ref="E19:F20"/>
    <mergeCell ref="G19:H20"/>
    <mergeCell ref="I19:J20"/>
    <mergeCell ref="B27:G27"/>
    <mergeCell ref="B28:G28"/>
    <mergeCell ref="B29:G29"/>
    <mergeCell ref="B31:C31"/>
    <mergeCell ref="C19:D20"/>
    <mergeCell ref="C21:D21"/>
    <mergeCell ref="C22:D22"/>
    <mergeCell ref="B24:D24"/>
    <mergeCell ref="A25:A26"/>
    <mergeCell ref="B25:D25"/>
    <mergeCell ref="B26:D26"/>
  </mergeCells>
  <printOptions/>
  <pageMargins bottom="0.1968503937007874" footer="0.0" header="0.0" left="1.1811023622047245" right="1.1811023622047245" top="0.1968503937007874"/>
  <pageSetup orientation="landscape"/>
  <colBreaks count="1" manualBreakCount="1">
    <brk id="7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6.63"/>
    <col customWidth="1" min="3" max="3" width="11.63"/>
    <col customWidth="1" min="4" max="4" width="9.13"/>
    <col customWidth="1" min="5" max="5" width="11.63"/>
    <col customWidth="1" min="6" max="6" width="9.75"/>
    <col customWidth="1" min="7" max="7" width="8.13"/>
    <col customWidth="1" min="8" max="8" width="11.88"/>
    <col customWidth="1" min="9" max="26" width="8.63"/>
  </cols>
  <sheetData>
    <row r="1">
      <c r="A1" s="360" t="s">
        <v>814</v>
      </c>
      <c r="B1" s="360" t="s">
        <v>824</v>
      </c>
      <c r="C1" s="141">
        <v>1.0</v>
      </c>
      <c r="D1" s="141">
        <v>2.0</v>
      </c>
      <c r="E1" s="141">
        <v>3.0</v>
      </c>
      <c r="F1" s="141">
        <v>4.0</v>
      </c>
      <c r="G1" s="141">
        <v>5.0</v>
      </c>
      <c r="H1" s="183" t="s">
        <v>820</v>
      </c>
    </row>
    <row r="2">
      <c r="C2" s="112"/>
      <c r="D2" s="112"/>
      <c r="E2" s="112"/>
      <c r="F2" s="206"/>
      <c r="G2" s="154"/>
    </row>
    <row r="3">
      <c r="C3" s="112"/>
      <c r="D3" s="112"/>
      <c r="E3" s="112"/>
      <c r="F3" s="206"/>
      <c r="G3" s="154"/>
    </row>
    <row r="4">
      <c r="C4" s="112"/>
      <c r="D4" s="112"/>
      <c r="E4" s="112"/>
      <c r="F4" s="206"/>
      <c r="G4" s="154"/>
    </row>
    <row r="5">
      <c r="C5" s="223"/>
      <c r="D5" s="223"/>
      <c r="E5" s="223"/>
      <c r="F5" s="206"/>
      <c r="G5" s="154"/>
    </row>
    <row r="6">
      <c r="C6" s="223"/>
      <c r="D6" s="223"/>
      <c r="E6" s="112"/>
      <c r="F6" s="206"/>
      <c r="G6" s="154"/>
    </row>
    <row r="7">
      <c r="C7" s="112"/>
      <c r="D7" s="112"/>
      <c r="E7" s="223"/>
      <c r="F7" s="206"/>
      <c r="G7" s="154"/>
    </row>
    <row r="8">
      <c r="C8" s="112"/>
      <c r="D8" s="112"/>
      <c r="E8" s="112"/>
      <c r="F8" s="206"/>
      <c r="G8" s="154"/>
    </row>
    <row r="9">
      <c r="C9" s="112"/>
      <c r="D9" s="112"/>
      <c r="E9" s="223"/>
      <c r="F9" s="206"/>
      <c r="G9" s="154"/>
    </row>
    <row r="10">
      <c r="C10" s="223"/>
      <c r="D10" s="223"/>
      <c r="E10" s="112"/>
      <c r="F10" s="206"/>
      <c r="G10" s="154"/>
    </row>
    <row r="11">
      <c r="C11" s="223"/>
      <c r="D11" s="223"/>
      <c r="E11" s="223"/>
      <c r="F11" s="206"/>
      <c r="G11" s="154"/>
    </row>
    <row r="12">
      <c r="C12" s="206"/>
      <c r="D12" s="112"/>
      <c r="E12" s="112"/>
      <c r="F12" s="206"/>
      <c r="G12" s="154"/>
    </row>
    <row r="17">
      <c r="A17" s="110"/>
      <c r="B17" s="361"/>
      <c r="C17" s="112"/>
      <c r="D17" s="112"/>
      <c r="E17" s="112"/>
      <c r="F17" s="206"/>
      <c r="H17" s="362"/>
      <c r="I17" s="106"/>
    </row>
    <row r="18">
      <c r="A18" s="110"/>
      <c r="B18" s="361"/>
      <c r="C18" s="112"/>
      <c r="D18" s="112"/>
      <c r="E18" s="112"/>
      <c r="F18" s="206"/>
      <c r="H18" s="362"/>
      <c r="I18" s="106"/>
    </row>
    <row r="19">
      <c r="A19" s="209"/>
      <c r="B19" s="363"/>
      <c r="C19" s="112"/>
      <c r="D19" s="112"/>
      <c r="E19" s="112"/>
      <c r="F19" s="206"/>
      <c r="H19" s="362"/>
      <c r="I19" s="106"/>
    </row>
    <row r="20">
      <c r="A20" s="364"/>
      <c r="B20" s="363"/>
      <c r="C20" s="223"/>
      <c r="D20" s="223"/>
      <c r="E20" s="223"/>
      <c r="F20" s="206"/>
      <c r="H20" s="362"/>
      <c r="I20" s="106"/>
    </row>
    <row r="21" ht="15.75" customHeight="1">
      <c r="A21" s="110"/>
      <c r="B21" s="361"/>
      <c r="C21" s="112"/>
      <c r="D21" s="112"/>
      <c r="E21" s="112"/>
      <c r="F21" s="206"/>
      <c r="H21" s="362"/>
      <c r="I21" s="106"/>
    </row>
    <row r="22" ht="15.75" customHeight="1">
      <c r="A22" s="110"/>
      <c r="B22" s="361"/>
      <c r="C22" s="223"/>
      <c r="D22" s="223"/>
      <c r="E22" s="112"/>
      <c r="F22" s="206"/>
      <c r="H22" s="362"/>
      <c r="I22" s="106"/>
    </row>
    <row r="23" ht="15.75" customHeight="1">
      <c r="A23" s="209"/>
      <c r="B23" s="363"/>
      <c r="C23" s="112"/>
      <c r="D23" s="112"/>
      <c r="E23" s="223"/>
      <c r="F23" s="206"/>
      <c r="H23" s="362"/>
      <c r="I23" s="106"/>
    </row>
    <row r="24" ht="15.75" customHeight="1">
      <c r="A24" s="364"/>
      <c r="B24" s="363"/>
      <c r="C24" s="223"/>
      <c r="D24" s="223"/>
      <c r="E24" s="112"/>
      <c r="F24" s="206"/>
      <c r="H24" s="362"/>
      <c r="I24" s="106"/>
    </row>
    <row r="25" ht="15.75" customHeight="1">
      <c r="A25" s="364"/>
      <c r="B25" s="363"/>
      <c r="C25" s="112"/>
      <c r="D25" s="112"/>
      <c r="E25" s="223"/>
      <c r="F25" s="206"/>
      <c r="H25" s="362"/>
      <c r="I25" s="106"/>
    </row>
    <row r="26" ht="15.75" customHeight="1">
      <c r="A26" s="226"/>
      <c r="B26" s="226"/>
      <c r="C26" s="223"/>
      <c r="D26" s="223"/>
      <c r="E26" s="223"/>
      <c r="F26" s="206"/>
      <c r="H26" s="362"/>
      <c r="I26" s="106"/>
    </row>
    <row r="27" ht="15.75" customHeight="1">
      <c r="A27" s="364"/>
      <c r="B27" s="363"/>
      <c r="C27" s="223"/>
      <c r="D27" s="223"/>
      <c r="E27" s="223"/>
      <c r="F27" s="206"/>
      <c r="H27" s="362"/>
      <c r="I27" s="106"/>
    </row>
    <row r="28" ht="15.75" customHeight="1">
      <c r="A28" s="206"/>
      <c r="B28" s="365"/>
      <c r="C28" s="206"/>
      <c r="D28" s="112"/>
      <c r="E28" s="112"/>
      <c r="F28" s="206"/>
      <c r="H28" s="337"/>
      <c r="I28" s="10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H24:I24"/>
    <mergeCell ref="H25:I25"/>
    <mergeCell ref="H26:I26"/>
    <mergeCell ref="H27:I27"/>
    <mergeCell ref="H28:I28"/>
    <mergeCell ref="H17:I17"/>
    <mergeCell ref="H18:I18"/>
    <mergeCell ref="H19:I19"/>
    <mergeCell ref="H20:I20"/>
    <mergeCell ref="H21:I21"/>
    <mergeCell ref="H22:I22"/>
    <mergeCell ref="H23:I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2024-05-28T09:53:44Z</dcterms:created>
  <dc:creator>S Nithya, ASST. PROFESSOR, ECE</dc:creator>
</cp:coreProperties>
</file>